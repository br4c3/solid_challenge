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oi.yh\Desktop\업무\교육 자료\2026 미래내일 일경험 사업\"/>
    </mc:Choice>
  </mc:AlternateContent>
  <xr:revisionPtr revIDLastSave="0" documentId="13_ncr:1_{2DC9699F-1184-471C-9086-08806AB2EB57}" xr6:coauthVersionLast="47" xr6:coauthVersionMax="47" xr10:uidLastSave="{00000000-0000-0000-0000-000000000000}"/>
  <bookViews>
    <workbookView xWindow="-98" yWindow="-98" windowWidth="21795" windowHeight="12975" xr2:uid="{89BC3218-4723-3640-B5EB-E401BA41BD49}"/>
  </bookViews>
  <sheets>
    <sheet name="Linkbudget" sheetId="1" r:id="rId1"/>
    <sheet name="MCS" sheetId="3" r:id="rId2"/>
    <sheet name="Sheet2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3" i="3" l="1"/>
  <c r="V32" i="3"/>
  <c r="V31" i="3"/>
  <c r="V30" i="3"/>
  <c r="V29" i="3"/>
  <c r="V28" i="3"/>
  <c r="V27" i="3"/>
  <c r="V26" i="3"/>
  <c r="W25" i="3" s="1"/>
  <c r="V25" i="3"/>
  <c r="W24" i="3" s="1"/>
  <c r="V24" i="3"/>
  <c r="W23" i="3" s="1"/>
  <c r="V23" i="3"/>
  <c r="W22" i="3" s="1"/>
  <c r="V22" i="3"/>
  <c r="W21" i="3" s="1"/>
  <c r="V21" i="3"/>
  <c r="W20" i="3" s="1"/>
  <c r="V20" i="3"/>
  <c r="W19" i="3" s="1"/>
  <c r="V19" i="3"/>
  <c r="W18" i="3" s="1"/>
  <c r="V18" i="3"/>
  <c r="W17" i="3" s="1"/>
  <c r="V17" i="3"/>
  <c r="V16" i="3"/>
  <c r="V15" i="3"/>
  <c r="V14" i="3"/>
  <c r="V13" i="3"/>
  <c r="V12" i="3"/>
  <c r="V11" i="3"/>
  <c r="V10" i="3"/>
  <c r="V9" i="3"/>
  <c r="V8" i="3"/>
  <c r="V7" i="3"/>
  <c r="W6" i="3" s="1"/>
  <c r="V6" i="3"/>
  <c r="W5" i="3" s="1"/>
  <c r="V5" i="3"/>
  <c r="W28" i="3"/>
  <c r="W27" i="3"/>
  <c r="W26" i="3"/>
  <c r="W12" i="3"/>
  <c r="W11" i="3"/>
  <c r="W10" i="3"/>
  <c r="W9" i="3"/>
  <c r="W8" i="3"/>
  <c r="W7" i="3"/>
  <c r="W33" i="3"/>
  <c r="W32" i="3"/>
  <c r="W31" i="3"/>
  <c r="W30" i="3"/>
  <c r="W29" i="3"/>
  <c r="W16" i="3"/>
  <c r="W15" i="3"/>
  <c r="W14" i="3"/>
  <c r="W13" i="3"/>
  <c r="D14" i="1"/>
  <c r="D9" i="1"/>
  <c r="D17" i="1" s="1"/>
  <c r="D57" i="1"/>
  <c r="D27" i="1"/>
  <c r="D16" i="1"/>
  <c r="D12" i="1"/>
  <c r="D15" i="1" s="1"/>
  <c r="D50" i="1"/>
  <c r="D28" i="1" l="1"/>
  <c r="D30" i="1" s="1"/>
  <c r="D34" i="1" s="1" a="1"/>
  <c r="D34" i="1" s="1"/>
  <c r="D36" i="1" s="1"/>
  <c r="D31" i="1"/>
  <c r="D33" i="1" s="1"/>
  <c r="D35" i="1" s="1" a="1"/>
  <c r="D35" i="1" s="1"/>
  <c r="I43" i="3"/>
  <c r="I42" i="3"/>
  <c r="D63" i="1"/>
  <c r="D58" i="1"/>
  <c r="D52" i="1"/>
  <c r="D48" i="1"/>
  <c r="D51" i="1" s="1"/>
  <c r="D45" i="1"/>
  <c r="D53" i="1" s="1"/>
  <c r="C9" i="4"/>
  <c r="C3" i="4"/>
  <c r="D22" i="1"/>
  <c r="D21" i="1" s="1"/>
  <c r="D67" i="1" l="1"/>
  <c r="D69" i="1" s="1"/>
  <c r="D71" i="1" s="1" a="1"/>
  <c r="D71" i="1" s="1"/>
  <c r="D73" i="1" s="1"/>
  <c r="D64" i="1"/>
  <c r="D66" i="1" s="1"/>
  <c r="D70" i="1" s="1" a="1"/>
  <c r="D70" i="1" s="1"/>
  <c r="D72" i="1" s="1"/>
  <c r="D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이상호</author>
  </authors>
  <commentList>
    <comment ref="S39" authorId="0" shapeId="0" xr:uid="{B10C04C7-84FF-4AF0-900F-46DA93CA0E56}">
      <text>
        <r>
          <rPr>
            <b/>
            <sz val="9"/>
            <color indexed="81"/>
            <rFont val="Tahoma"/>
            <family val="2"/>
          </rPr>
          <t>이상호:</t>
        </r>
        <r>
          <rPr>
            <sz val="9"/>
            <color indexed="81"/>
            <rFont val="Tahoma"/>
            <family val="2"/>
          </rPr>
          <t xml:space="preserve">
SE 기반 단일 공식의 구현 손실(implementation gap). 기본값 0.84dB는 Table 1 MCS0(SE 0.2344, 임계 SNR -6.7dB) 역산치. 이 셀만 바꾸면 Table 3 전체 SNR이 재산정됨.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<sst xmlns="http://schemas.openxmlformats.org/spreadsheetml/2006/main" count="200" uniqueCount="102">
  <si>
    <t>Downlink</t>
  </si>
  <si>
    <t>Parameter</t>
  </si>
  <si>
    <t>Unit</t>
  </si>
  <si>
    <t>Value</t>
  </si>
  <si>
    <t>Target</t>
  </si>
  <si>
    <t xml:space="preserve">Center freq </t>
    <phoneticPr fontId="6" type="noConversion"/>
  </si>
  <si>
    <t>GHz</t>
  </si>
  <si>
    <t>DL 64QAM</t>
  </si>
  <si>
    <t>300 Mbps</t>
  </si>
  <si>
    <t>DL channel BW</t>
  </si>
  <si>
    <t>MHz</t>
  </si>
  <si>
    <t>Control Channel Overhead</t>
  </si>
  <si>
    <t>-</t>
  </si>
  <si>
    <t>Range at boresight (90 deg)</t>
  </si>
  <si>
    <t>km</t>
  </si>
  <si>
    <t>Elevation Angle (90- Scan range)</t>
  </si>
  <si>
    <t>deg(+/-)</t>
  </si>
  <si>
    <t>Slant range</t>
  </si>
  <si>
    <t>n of beams</t>
  </si>
  <si>
    <t>n</t>
  </si>
  <si>
    <t>Peak EIRP(composited 8-beam and single-pol)</t>
  </si>
  <si>
    <t>dBW</t>
  </si>
  <si>
    <t>Peak EIRP per beam</t>
  </si>
  <si>
    <t>Back-off for SNR 28dB (4% EVM) for 64QAM</t>
    <phoneticPr fontId="6" type="noConversion"/>
  </si>
  <si>
    <t>dB</t>
    <phoneticPr fontId="6" type="noConversion"/>
  </si>
  <si>
    <t>Composited EIRP with Back-off</t>
    <phoneticPr fontId="6" type="noConversion"/>
  </si>
  <si>
    <t>Linear EIRP per beam with Back-off</t>
  </si>
  <si>
    <t>Path loss dB @ boresight</t>
  </si>
  <si>
    <t>dB</t>
  </si>
  <si>
    <t xml:space="preserve">Path loss dB @ max. slant </t>
  </si>
  <si>
    <t>Atmospheric loss</t>
  </si>
  <si>
    <t>Scintillation loss</t>
  </si>
  <si>
    <t>Rain attenuation</t>
  </si>
  <si>
    <t>G/T</t>
  </si>
  <si>
    <t>dB/K</t>
  </si>
  <si>
    <t>System Noise Temperature</t>
  </si>
  <si>
    <t>K</t>
  </si>
  <si>
    <t>Sky temperature</t>
  </si>
  <si>
    <t>Ground terminal NF</t>
  </si>
  <si>
    <t xml:space="preserve">Coherent gain (unit-cell gain+BF Gain) </t>
    <phoneticPr fontId="6" type="noConversion"/>
  </si>
  <si>
    <t>BF Error</t>
  </si>
  <si>
    <t>Terminal EIS (required SNR: 0 dB)</t>
  </si>
  <si>
    <t>dBm/BW(Hz)</t>
  </si>
  <si>
    <t>SNR (noise limited)</t>
  </si>
  <si>
    <t>SNR (Non-linearity limited)</t>
  </si>
  <si>
    <t>SNR (total)</t>
  </si>
  <si>
    <r>
      <t xml:space="preserve">SNR (noise limited) </t>
    </r>
    <r>
      <rPr>
        <b/>
        <sz val="11"/>
        <color theme="1"/>
        <rFont val="Raleway"/>
      </rPr>
      <t>at max slant angle</t>
    </r>
  </si>
  <si>
    <r>
      <t xml:space="preserve">SNR (NL limited) </t>
    </r>
    <r>
      <rPr>
        <b/>
        <sz val="11"/>
        <color theme="1"/>
        <rFont val="Raleway"/>
      </rPr>
      <t>at max slant angle</t>
    </r>
  </si>
  <si>
    <r>
      <t xml:space="preserve">SNR (total) </t>
    </r>
    <r>
      <rPr>
        <b/>
        <sz val="11"/>
        <color theme="1"/>
        <rFont val="Raleway"/>
      </rPr>
      <t>at max slant angle</t>
    </r>
  </si>
  <si>
    <r>
      <rPr>
        <b/>
        <sz val="11"/>
        <color theme="1"/>
        <rFont val="Raleway"/>
      </rPr>
      <t xml:space="preserve">{max] </t>
    </r>
    <r>
      <rPr>
        <sz val="11"/>
        <color theme="1"/>
        <rFont val="Raleway"/>
      </rPr>
      <t>Optimum spectral efficiency from MCS table for the calculated  SNR</t>
    </r>
  </si>
  <si>
    <t>b/s/Hz</t>
  </si>
  <si>
    <r>
      <rPr>
        <b/>
        <sz val="11"/>
        <color theme="1"/>
        <rFont val="Raleway"/>
      </rPr>
      <t xml:space="preserve">[min] </t>
    </r>
    <r>
      <rPr>
        <sz val="11"/>
        <color theme="1"/>
        <rFont val="Raleway"/>
      </rPr>
      <t>Optimum spectral efficiency from MCS table for the calculated  SNR</t>
    </r>
  </si>
  <si>
    <t xml:space="preserve">Max. DL Throughput </t>
  </si>
  <si>
    <t>Mbps</t>
  </si>
  <si>
    <t>PRB기반</t>
    <phoneticPr fontId="6" type="noConversion"/>
  </si>
  <si>
    <t xml:space="preserve">Min. DL Throughput </t>
  </si>
  <si>
    <t>Uplink</t>
  </si>
  <si>
    <t>UL 16QAM</t>
  </si>
  <si>
    <t>40 Mbps</t>
    <phoneticPr fontId="6" type="noConversion"/>
  </si>
  <si>
    <t>100 Mbps</t>
    <phoneticPr fontId="6" type="noConversion"/>
  </si>
  <si>
    <t>UL channel BW</t>
    <phoneticPr fontId="6" type="noConversion"/>
  </si>
  <si>
    <t>Back-off for SNR xx dB (x % EVM) for 16QAM</t>
    <phoneticPr fontId="6" type="noConversion"/>
  </si>
  <si>
    <t>Linear EIRP per beam with Back-off</t>
    <phoneticPr fontId="6" type="noConversion"/>
  </si>
  <si>
    <t>Payload EIS (required SNR: 0 dB)</t>
    <phoneticPr fontId="6" type="noConversion"/>
  </si>
  <si>
    <t xml:space="preserve">Max. UL Throughput </t>
    <phoneticPr fontId="6" type="noConversion"/>
  </si>
  <si>
    <t xml:space="preserve">Min. UL Throughput </t>
    <phoneticPr fontId="6" type="noConversion"/>
  </si>
  <si>
    <t>&lt; 38.214  - Table 5.1.3.1-1: MCS index table 1 for PDSCH &gt;</t>
  </si>
  <si>
    <t>&lt; 38.214 - Table 5.1.3.1-2: MCS index table 2 for PDSCH &gt;</t>
  </si>
  <si>
    <t>General MCS</t>
    <phoneticPr fontId="6" type="noConversion"/>
  </si>
  <si>
    <t>High-efficiency (256QAM)</t>
    <phoneticPr fontId="6" type="noConversion"/>
  </si>
  <si>
    <t>Low SE (coverage enhancement)</t>
    <phoneticPr fontId="6" type="noConversion"/>
  </si>
  <si>
    <t>qam-64LowSE</t>
    <phoneticPr fontId="6" type="noConversion"/>
  </si>
  <si>
    <t>MCS #</t>
  </si>
  <si>
    <t>Mod order (QOSK:2,16QAM:4,64QAM:6)</t>
  </si>
  <si>
    <t>Min SNR [dB]</t>
  </si>
  <si>
    <t>Max SNR [dB]</t>
  </si>
  <si>
    <t>EVM min[dB]</t>
  </si>
  <si>
    <t>SE[bps/Hz]</t>
  </si>
  <si>
    <t>Target Code Rate</t>
  </si>
  <si>
    <t xml:space="preserve">Mod order </t>
    <phoneticPr fontId="6" type="noConversion"/>
  </si>
  <si>
    <r>
      <t>MCS Index
I</t>
    </r>
    <r>
      <rPr>
        <b/>
        <sz val="8"/>
        <color theme="1"/>
        <rFont val="Raleway"/>
        <family val="2"/>
      </rPr>
      <t>MCS </t>
    </r>
    <phoneticPr fontId="6" type="noConversion"/>
  </si>
  <si>
    <r>
      <t>Modulation Order Q</t>
    </r>
    <r>
      <rPr>
        <b/>
        <sz val="9"/>
        <color theme="1"/>
        <rFont val="Raleway"/>
        <family val="2"/>
      </rPr>
      <t>m</t>
    </r>
    <phoneticPr fontId="6" type="noConversion"/>
  </si>
  <si>
    <t>Target code Rate x [1024] R</t>
    <phoneticPr fontId="6" type="noConversion"/>
  </si>
  <si>
    <t>Spectral efficiency</t>
    <phoneticPr fontId="6" type="noConversion"/>
  </si>
  <si>
    <t>reserved</t>
  </si>
  <si>
    <t>Case</t>
  </si>
  <si>
    <t>N_PRB</t>
  </si>
  <si>
    <t>BW_MHz</t>
  </si>
  <si>
    <t>N_sc</t>
  </si>
  <si>
    <t>Nsym/slot</t>
  </si>
  <si>
    <t>slots/s</t>
  </si>
  <si>
    <r>
      <t>nFill (</t>
    </r>
    <r>
      <rPr>
        <b/>
        <sz val="11"/>
        <rFont val="맑은 고딕"/>
        <family val="3"/>
        <charset val="129"/>
      </rPr>
      <t>η</t>
    </r>
    <r>
      <rPr>
        <b/>
        <sz val="11"/>
        <rFont val="Raleway"/>
        <family val="2"/>
      </rPr>
      <t>_fill)</t>
    </r>
  </si>
  <si>
    <r>
      <t xml:space="preserve">DL(100 MHz, </t>
    </r>
    <r>
      <rPr>
        <sz val="12"/>
        <color theme="1"/>
        <rFont val="Calibri"/>
        <family val="2"/>
        <charset val="161"/>
      </rPr>
      <t>μ</t>
    </r>
    <r>
      <rPr>
        <sz val="12"/>
        <color theme="1"/>
        <rFont val="Raleway"/>
        <family val="2"/>
      </rPr>
      <t>=2, N_PRB=132)</t>
    </r>
    <phoneticPr fontId="6" type="noConversion"/>
  </si>
  <si>
    <t>Linear EIRP per beam with Back-off [dBW]</t>
  </si>
  <si>
    <t>Throughput DL(Max)</t>
  </si>
  <si>
    <t>Throughput DL(Min)</t>
  </si>
  <si>
    <t>Linear EIRP per beam with Back-off  [dBW]</t>
  </si>
  <si>
    <t>Throughput UL(Max)</t>
  </si>
  <si>
    <t>Throughput UL(Min)</t>
  </si>
  <si>
    <t>&lt; 38.214 - Table 5.1.3.1-3: MCS index table 3 for PDSCH &gt;</t>
    <phoneticPr fontId="6" type="noConversion"/>
  </si>
  <si>
    <t>구현 손실 Δ [dB] (입력)</t>
  </si>
  <si>
    <t>Table 1 임계값 상속 (MCS 0~5만 공식 외삽)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</si>
</sst>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9">
    <font>
      <sz val="12"/>
      <color theme="1"/>
      <name val="맑은 고딕"/>
      <family val="2"/>
      <scheme val="minor"/>
    </font>
    <font>
      <b/>
      <sz val="11"/>
      <color theme="1"/>
      <name val="Raleway"/>
      <family val="2"/>
    </font>
    <font>
      <sz val="11"/>
      <color theme="1"/>
      <name val="Raleway"/>
      <family val="2"/>
    </font>
    <font>
      <b/>
      <sz val="12"/>
      <color theme="1"/>
      <name val="Raleway"/>
      <family val="2"/>
    </font>
    <font>
      <sz val="11"/>
      <color theme="1"/>
      <name val="맑은 고딕"/>
      <family val="2"/>
      <scheme val="minor"/>
    </font>
    <font>
      <sz val="11"/>
      <color rgb="FF000000"/>
      <name val="Raleway"/>
      <family val="2"/>
    </font>
    <font>
      <sz val="8"/>
      <name val="맑은 고딕"/>
      <family val="3"/>
      <charset val="129"/>
      <scheme val="minor"/>
    </font>
    <font>
      <sz val="11"/>
      <color theme="1"/>
      <name val="Verdana"/>
      <family val="2"/>
    </font>
    <font>
      <b/>
      <sz val="9"/>
      <color theme="1"/>
      <name val="Raleway"/>
      <family val="2"/>
    </font>
    <font>
      <b/>
      <sz val="8"/>
      <color theme="1"/>
      <name val="Raleway"/>
      <family val="2"/>
    </font>
    <font>
      <b/>
      <sz val="10"/>
      <color rgb="FF000000"/>
      <name val="210 옴니고딕 050"/>
      <family val="1"/>
      <charset val="129"/>
    </font>
    <font>
      <sz val="11"/>
      <color theme="1"/>
      <name val="210 옴니고딕 050"/>
      <family val="1"/>
      <charset val="129"/>
    </font>
    <font>
      <sz val="11"/>
      <color theme="1"/>
      <name val="Raleway"/>
    </font>
    <font>
      <sz val="11"/>
      <color theme="1" tint="4.9989318521683403E-2"/>
      <name val="Raleway"/>
    </font>
    <font>
      <b/>
      <sz val="11"/>
      <color theme="1"/>
      <name val="Raleway"/>
    </font>
    <font>
      <b/>
      <sz val="14"/>
      <color theme="0"/>
      <name val="Raleway"/>
      <family val="2"/>
    </font>
    <font>
      <sz val="11"/>
      <color rgb="FF0000FF"/>
      <name val="Raleway"/>
      <family val="2"/>
    </font>
    <font>
      <sz val="12"/>
      <color theme="1"/>
      <name val="Raleway"/>
      <family val="2"/>
    </font>
    <font>
      <sz val="11"/>
      <color theme="1"/>
      <name val="Arial"/>
      <family val="2"/>
    </font>
    <font>
      <sz val="12"/>
      <color theme="1"/>
      <name val="Calibri"/>
      <family val="2"/>
      <charset val="161"/>
    </font>
    <font>
      <i/>
      <sz val="11"/>
      <color theme="1"/>
      <name val="Arial"/>
      <family val="2"/>
    </font>
    <font>
      <b/>
      <sz val="11"/>
      <name val="맑은 고딕"/>
      <family val="3"/>
      <charset val="129"/>
    </font>
    <font>
      <b/>
      <sz val="11"/>
      <name val="Raleway"/>
      <family val="2"/>
    </font>
    <font>
      <b/>
      <sz val="11"/>
      <color rgb="FF0000FF"/>
      <name val="Raleway"/>
      <family val="2"/>
    </font>
    <font>
      <sz val="11"/>
      <color rgb="FF0000F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9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89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2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76" fontId="2" fillId="3" borderId="1" xfId="0" applyNumberFormat="1" applyFont="1" applyFill="1" applyBorder="1" applyAlignment="1">
      <alignment horizontal="center"/>
    </xf>
    <xf numFmtId="176" fontId="2" fillId="0" borderId="0" xfId="0" applyNumberFormat="1" applyFont="1"/>
    <xf numFmtId="0" fontId="2" fillId="0" borderId="0" xfId="0" applyFont="1"/>
    <xf numFmtId="176" fontId="2" fillId="0" borderId="1" xfId="0" applyNumberFormat="1" applyFont="1" applyBorder="1" applyAlignment="1">
      <alignment horizontal="center" vertical="center"/>
    </xf>
    <xf numFmtId="0" fontId="4" fillId="0" borderId="0" xfId="1"/>
    <xf numFmtId="0" fontId="5" fillId="0" borderId="1" xfId="0" applyFont="1" applyBorder="1"/>
    <xf numFmtId="176" fontId="2" fillId="5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/>
    </xf>
    <xf numFmtId="0" fontId="1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1" fillId="7" borderId="1" xfId="1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7" fillId="4" borderId="7" xfId="1" applyFont="1" applyFill="1" applyBorder="1" applyAlignment="1">
      <alignment horizontal="center" vertical="center" wrapText="1"/>
    </xf>
    <xf numFmtId="0" fontId="7" fillId="4" borderId="6" xfId="1" applyFont="1" applyFill="1" applyBorder="1" applyAlignment="1">
      <alignment horizontal="center" vertical="center" wrapText="1"/>
    </xf>
    <xf numFmtId="0" fontId="7" fillId="4" borderId="5" xfId="1" applyFont="1" applyFill="1" applyBorder="1" applyAlignment="1">
      <alignment horizontal="center" vertical="center" wrapText="1"/>
    </xf>
    <xf numFmtId="0" fontId="7" fillId="4" borderId="4" xfId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10" fillId="0" borderId="0" xfId="0" applyFont="1"/>
    <xf numFmtId="0" fontId="11" fillId="0" borderId="0" xfId="1" applyFont="1"/>
    <xf numFmtId="0" fontId="3" fillId="0" borderId="0" xfId="0" applyFont="1" applyAlignment="1">
      <alignment horizontal="center" vertical="center"/>
    </xf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176" fontId="2" fillId="9" borderId="1" xfId="0" applyNumberFormat="1" applyFont="1" applyFill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2" fillId="0" borderId="2" xfId="0" applyFon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176" fontId="12" fillId="0" borderId="1" xfId="0" applyNumberFormat="1" applyFont="1" applyBorder="1" applyAlignment="1">
      <alignment horizontal="center"/>
    </xf>
    <xf numFmtId="176" fontId="12" fillId="8" borderId="1" xfId="0" applyNumberFormat="1" applyFont="1" applyFill="1" applyBorder="1" applyAlignment="1">
      <alignment horizontal="center"/>
    </xf>
    <xf numFmtId="176" fontId="12" fillId="5" borderId="1" xfId="0" applyNumberFormat="1" applyFont="1" applyFill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176" fontId="16" fillId="0" borderId="1" xfId="0" applyNumberFormat="1" applyFont="1" applyBorder="1" applyAlignment="1">
      <alignment horizontal="center" vertical="center"/>
    </xf>
    <xf numFmtId="176" fontId="16" fillId="5" borderId="1" xfId="0" applyNumberFormat="1" applyFont="1" applyFill="1" applyBorder="1" applyAlignment="1">
      <alignment horizontal="center"/>
    </xf>
    <xf numFmtId="0" fontId="12" fillId="10" borderId="1" xfId="0" applyFont="1" applyFill="1" applyBorder="1"/>
    <xf numFmtId="0" fontId="17" fillId="0" borderId="0" xfId="0" applyFont="1"/>
    <xf numFmtId="0" fontId="3" fillId="0" borderId="0" xfId="0" applyFont="1"/>
    <xf numFmtId="0" fontId="18" fillId="0" borderId="0" xfId="0" applyFont="1" applyAlignment="1">
      <alignment horizontal="left" vertical="center" indent="1" readingOrder="1"/>
    </xf>
    <xf numFmtId="0" fontId="1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left" vertical="center" indent="1" readingOrder="1"/>
    </xf>
    <xf numFmtId="0" fontId="2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left" vertical="center" indent="1" readingOrder="1"/>
    </xf>
    <xf numFmtId="0" fontId="22" fillId="5" borderId="1" xfId="0" applyFont="1" applyFill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17" fillId="5" borderId="1" xfId="0" applyFont="1" applyFill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horizontal="center"/>
    </xf>
    <xf numFmtId="176" fontId="23" fillId="8" borderId="1" xfId="0" applyNumberFormat="1" applyFont="1" applyFill="1" applyBorder="1" applyAlignment="1">
      <alignment horizontal="center"/>
    </xf>
    <xf numFmtId="176" fontId="1" fillId="8" borderId="1" xfId="0" applyNumberFormat="1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2" fontId="4" fillId="0" borderId="0" xfId="1" applyNumberFormat="1"/>
    <xf numFmtId="2" fontId="24" fillId="5" borderId="0" xfId="1" applyNumberFormat="1" applyFont="1" applyFill="1"/>
    <xf numFmtId="0" fontId="26" fillId="0" borderId="0" xfId="1" quotePrefix="1" applyFont="1" applyAlignment="1">
      <alignment horizontal="center"/>
    </xf>
    <xf numFmtId="0" fontId="7" fillId="5" borderId="5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/>
    </xf>
  </cellXfs>
  <cellStyles count="2">
    <cellStyle name="Normal 2" xfId="1" xr:uid="{07BAB5C2-6E92-3549-92FA-FB31D5CDBA11}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Raleway" pitchFamily="2" charset="77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  <a:latin typeface="Raleway" pitchFamily="2" charset="77"/>
              </a:rPr>
              <a:t>Downlink</a:t>
            </a:r>
            <a:r>
              <a:rPr lang="en-US" sz="2800" b="1" baseline="0">
                <a:solidFill>
                  <a:schemeClr val="tx1"/>
                </a:solidFill>
                <a:latin typeface="Raleway" pitchFamily="2" charset="77"/>
              </a:rPr>
              <a:t> TP vs Linear EIRP per beam</a:t>
            </a:r>
            <a:endParaRPr lang="en-US" sz="2800" b="1">
              <a:solidFill>
                <a:schemeClr val="tx1"/>
              </a:solidFill>
              <a:latin typeface="Raleway" pitchFamily="2" charset="7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Raleway" pitchFamily="2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Sheet2!$F$2</c:f>
              <c:strCache>
                <c:ptCount val="1"/>
                <c:pt idx="0">
                  <c:v>Throughput DL(Max)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Sheet2!$E$3:$E$33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Sheet2!$F$3:$F$33</c:f>
              <c:numCache>
                <c:formatCode>General</c:formatCode>
                <c:ptCount val="31"/>
                <c:pt idx="0">
                  <c:v>63.787185000000001</c:v>
                </c:pt>
                <c:pt idx="1">
                  <c:v>74.726190000000003</c:v>
                </c:pt>
                <c:pt idx="2">
                  <c:v>85.523130000000023</c:v>
                </c:pt>
                <c:pt idx="3">
                  <c:v>96.462135000000018</c:v>
                </c:pt>
                <c:pt idx="4">
                  <c:v>96.60420000000002</c:v>
                </c:pt>
                <c:pt idx="5">
                  <c:v>107.40114</c:v>
                </c:pt>
                <c:pt idx="6">
                  <c:v>123.31242</c:v>
                </c:pt>
                <c:pt idx="7">
                  <c:v>139.22370000000001</c:v>
                </c:pt>
                <c:pt idx="8">
                  <c:v>157.12388999999999</c:v>
                </c:pt>
                <c:pt idx="9">
                  <c:v>175.02408</c:v>
                </c:pt>
                <c:pt idx="10">
                  <c:v>186.95753999999999</c:v>
                </c:pt>
                <c:pt idx="11">
                  <c:v>186.67340999999999</c:v>
                </c:pt>
                <c:pt idx="12">
                  <c:v>198.60686999999999</c:v>
                </c:pt>
                <c:pt idx="13">
                  <c:v>220.342815</c:v>
                </c:pt>
                <c:pt idx="14">
                  <c:v>241.65256500000001</c:v>
                </c:pt>
                <c:pt idx="15">
                  <c:v>262.53611999999998</c:v>
                </c:pt>
                <c:pt idx="16">
                  <c:v>283.84586999999999</c:v>
                </c:pt>
                <c:pt idx="17">
                  <c:v>283.84586999999999</c:v>
                </c:pt>
                <c:pt idx="18">
                  <c:v>306.43420500000002</c:v>
                </c:pt>
                <c:pt idx="19">
                  <c:v>329.02253999999999</c:v>
                </c:pt>
                <c:pt idx="20">
                  <c:v>350.33229000000011</c:v>
                </c:pt>
                <c:pt idx="21">
                  <c:v>350.33229000000011</c:v>
                </c:pt>
                <c:pt idx="22">
                  <c:v>372.06823500000007</c:v>
                </c:pt>
                <c:pt idx="23">
                  <c:v>387.83744999999999</c:v>
                </c:pt>
                <c:pt idx="24">
                  <c:v>404.03286000000008</c:v>
                </c:pt>
                <c:pt idx="25">
                  <c:v>404.03286000000008</c:v>
                </c:pt>
                <c:pt idx="26">
                  <c:v>404.03286000000008</c:v>
                </c:pt>
                <c:pt idx="27">
                  <c:v>404.03286000000008</c:v>
                </c:pt>
                <c:pt idx="28">
                  <c:v>404.03286000000008</c:v>
                </c:pt>
                <c:pt idx="29">
                  <c:v>404.03286000000008</c:v>
                </c:pt>
                <c:pt idx="30">
                  <c:v>404.03286000000008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F-B242-BFC6-914744E5F6F4}"/>
            </c:ext>
          </c:extLst>
        </c:ser>
        <c:ser>
          <c:idx val="2"/>
          <c:order val="1"/>
          <c:tx>
            <c:strRef>
              <c:f>Sheet2!$G$2</c:f>
              <c:strCache>
                <c:ptCount val="1"/>
                <c:pt idx="0">
                  <c:v>Throughput DL(Min)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Sheet2!$E$3:$E$33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  <c:pt idx="30">
                  <c:v>50</c:v>
                </c:pt>
              </c:numCache>
            </c:numRef>
          </c:cat>
          <c:val>
            <c:numRef>
              <c:f>Sheet2!$G$3:$G$33</c:f>
              <c:numCache>
                <c:formatCode>General</c:formatCode>
                <c:ptCount val="31"/>
                <c:pt idx="0">
                  <c:v>35.658315000000002</c:v>
                </c:pt>
                <c:pt idx="1">
                  <c:v>43.756020000000007</c:v>
                </c:pt>
                <c:pt idx="2">
                  <c:v>53.842635000000008</c:v>
                </c:pt>
                <c:pt idx="3">
                  <c:v>63.787185000000001</c:v>
                </c:pt>
                <c:pt idx="4">
                  <c:v>74.726190000000003</c:v>
                </c:pt>
                <c:pt idx="5">
                  <c:v>85.523130000000023</c:v>
                </c:pt>
                <c:pt idx="6">
                  <c:v>96.462135000000018</c:v>
                </c:pt>
                <c:pt idx="7">
                  <c:v>96.60420000000002</c:v>
                </c:pt>
                <c:pt idx="8">
                  <c:v>107.40114</c:v>
                </c:pt>
                <c:pt idx="9">
                  <c:v>123.31242</c:v>
                </c:pt>
                <c:pt idx="10">
                  <c:v>139.22370000000001</c:v>
                </c:pt>
                <c:pt idx="11">
                  <c:v>157.12388999999999</c:v>
                </c:pt>
                <c:pt idx="12">
                  <c:v>175.02408</c:v>
                </c:pt>
                <c:pt idx="13">
                  <c:v>186.95753999999999</c:v>
                </c:pt>
                <c:pt idx="14">
                  <c:v>186.67340999999999</c:v>
                </c:pt>
                <c:pt idx="15">
                  <c:v>198.60686999999999</c:v>
                </c:pt>
                <c:pt idx="16">
                  <c:v>220.342815</c:v>
                </c:pt>
                <c:pt idx="17">
                  <c:v>241.65256500000001</c:v>
                </c:pt>
                <c:pt idx="18">
                  <c:v>241.65256500000001</c:v>
                </c:pt>
                <c:pt idx="19">
                  <c:v>262.53611999999998</c:v>
                </c:pt>
                <c:pt idx="20">
                  <c:v>283.84586999999999</c:v>
                </c:pt>
                <c:pt idx="21">
                  <c:v>306.43420500000002</c:v>
                </c:pt>
                <c:pt idx="22">
                  <c:v>329.02253999999999</c:v>
                </c:pt>
                <c:pt idx="23">
                  <c:v>329.02253999999999</c:v>
                </c:pt>
                <c:pt idx="24">
                  <c:v>350.33229000000011</c:v>
                </c:pt>
                <c:pt idx="25">
                  <c:v>372.06823500000007</c:v>
                </c:pt>
                <c:pt idx="26">
                  <c:v>387.83744999999999</c:v>
                </c:pt>
                <c:pt idx="27">
                  <c:v>404.03286000000008</c:v>
                </c:pt>
                <c:pt idx="28">
                  <c:v>404.03286000000008</c:v>
                </c:pt>
                <c:pt idx="29">
                  <c:v>404.03286000000008</c:v>
                </c:pt>
                <c:pt idx="30">
                  <c:v>404.03286000000008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F-B242-BFC6-914744E5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090399"/>
        <c:axId val="1375431647"/>
      </c:lineChart>
      <c:catAx>
        <c:axId val="31009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Raleway" panose="020B0003030101060003" pitchFamily="34" charset="0"/>
                    <a:ea typeface="+mn-ea"/>
                    <a:cs typeface="+mn-cs"/>
                  </a:defRPr>
                </a:pPr>
                <a:r>
                  <a:rPr lang="en-US" altLang="ko-KR" sz="1800" b="1">
                    <a:solidFill>
                      <a:srgbClr val="C00000"/>
                    </a:solidFill>
                    <a:latin typeface="Raleway" panose="020B0003030101060003" pitchFamily="34" charset="0"/>
                  </a:rPr>
                  <a:t>Linear</a:t>
                </a:r>
                <a:r>
                  <a:rPr lang="en-US" altLang="ko-KR" sz="1800" b="1" baseline="0">
                    <a:solidFill>
                      <a:srgbClr val="C00000"/>
                    </a:solidFill>
                    <a:latin typeface="Raleway" panose="020B0003030101060003" pitchFamily="34" charset="0"/>
                  </a:rPr>
                  <a:t> EIRP (dBW)</a:t>
                </a:r>
                <a:endParaRPr lang="en-US" altLang="ko-KR" sz="1800" b="1">
                  <a:solidFill>
                    <a:srgbClr val="C00000"/>
                  </a:solidFill>
                  <a:latin typeface="Raleway" panose="020B00030301010600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C00000"/>
                  </a:solidFill>
                  <a:latin typeface="Raleway" panose="020B0003030101060003" pitchFamily="34" charset="0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77"/>
                <a:ea typeface="+mn-ea"/>
                <a:cs typeface="+mn-cs"/>
              </a:defRPr>
            </a:pPr>
            <a:endParaRPr lang="ko-KR"/>
          </a:p>
        </c:txPr>
        <c:crossAx val="1375431647"/>
        <c:crosses val="autoZero"/>
        <c:auto val="1"/>
        <c:lblAlgn val="ctr"/>
        <c:lblOffset val="100"/>
        <c:noMultiLvlLbl val="0"/>
      </c:catAx>
      <c:valAx>
        <c:axId val="137543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FF"/>
                    </a:solidFill>
                    <a:latin typeface="Raleway" panose="020B0003030101060003" pitchFamily="34" charset="0"/>
                    <a:ea typeface="+mn-ea"/>
                    <a:cs typeface="+mn-cs"/>
                  </a:defRPr>
                </a:pPr>
                <a:r>
                  <a:rPr lang="en-US" altLang="ko-KR" sz="1600">
                    <a:solidFill>
                      <a:srgbClr val="0000FF"/>
                    </a:solidFill>
                    <a:latin typeface="Raleway" panose="020B0003030101060003" pitchFamily="34" charset="0"/>
                  </a:rPr>
                  <a:t> Throughput</a:t>
                </a:r>
                <a:r>
                  <a:rPr lang="en-US" altLang="ko-KR" sz="1600" baseline="0">
                    <a:solidFill>
                      <a:srgbClr val="0000FF"/>
                    </a:solidFill>
                    <a:latin typeface="Raleway" panose="020B0003030101060003" pitchFamily="34" charset="0"/>
                  </a:rPr>
                  <a:t> (Mbps)</a:t>
                </a:r>
                <a:endParaRPr lang="en-US" altLang="ko-KR" sz="1600">
                  <a:solidFill>
                    <a:srgbClr val="0000FF"/>
                  </a:solidFill>
                  <a:latin typeface="Raleway" panose="020B00030301010600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0000FF"/>
                  </a:solidFill>
                  <a:latin typeface="Raleway" panose="020B0003030101060003" pitchFamily="34" charset="0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77"/>
                <a:ea typeface="+mn-ea"/>
                <a:cs typeface="+mn-cs"/>
              </a:defRPr>
            </a:pPr>
            <a:endParaRPr lang="ko-KR"/>
          </a:p>
        </c:txPr>
        <c:crossAx val="31009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094078384826855E-2"/>
          <c:y val="0.18241168197784677"/>
          <c:w val="0.43306532015810117"/>
          <c:h val="0.162934693116899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anose="020B0003030101060003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/>
                </a:solidFill>
                <a:latin typeface="Raleway" pitchFamily="2" charset="77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  <a:latin typeface="Raleway" pitchFamily="2" charset="77"/>
              </a:rPr>
              <a:t>Uplink</a:t>
            </a:r>
            <a:r>
              <a:rPr lang="en-US" sz="2800" b="1" baseline="0">
                <a:solidFill>
                  <a:schemeClr val="tx1"/>
                </a:solidFill>
                <a:latin typeface="Raleway" pitchFamily="2" charset="77"/>
              </a:rPr>
              <a:t> TP vs Linear EIRP per beam</a:t>
            </a:r>
            <a:endParaRPr lang="en-US" sz="2800" b="1">
              <a:solidFill>
                <a:schemeClr val="tx1"/>
              </a:solidFill>
              <a:latin typeface="Raleway" pitchFamily="2" charset="7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/>
              </a:solidFill>
              <a:latin typeface="Raleway" pitchFamily="2" charset="77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Sheet2!$J$2</c:f>
              <c:strCache>
                <c:ptCount val="1"/>
                <c:pt idx="0">
                  <c:v>Throughput UL(Max)</c:v>
                </c:pt>
              </c:strCache>
            </c:strRef>
          </c:tx>
          <c:spPr>
            <a:ln w="28575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Sheet2!$I$3:$I$33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</c:numCache>
            </c:numRef>
          </c:cat>
          <c:val>
            <c:numRef>
              <c:f>Sheet2!$J$3:$J$33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</c:v>
                </c:pt>
                <c:pt idx="6">
                  <c:v>22.3</c:v>
                </c:pt>
                <c:pt idx="7">
                  <c:v>27.4</c:v>
                </c:pt>
                <c:pt idx="8">
                  <c:v>35.700000000000003</c:v>
                </c:pt>
                <c:pt idx="9">
                  <c:v>35.700000000000003</c:v>
                </c:pt>
                <c:pt idx="10">
                  <c:v>43.8</c:v>
                </c:pt>
                <c:pt idx="11">
                  <c:v>53.8</c:v>
                </c:pt>
                <c:pt idx="12">
                  <c:v>63.8</c:v>
                </c:pt>
                <c:pt idx="13">
                  <c:v>74.7</c:v>
                </c:pt>
                <c:pt idx="14">
                  <c:v>85.5</c:v>
                </c:pt>
                <c:pt idx="15">
                  <c:v>96.5</c:v>
                </c:pt>
                <c:pt idx="16">
                  <c:v>96.6</c:v>
                </c:pt>
                <c:pt idx="17">
                  <c:v>107.4</c:v>
                </c:pt>
                <c:pt idx="18">
                  <c:v>123.3</c:v>
                </c:pt>
                <c:pt idx="19">
                  <c:v>139.19999999999999</c:v>
                </c:pt>
                <c:pt idx="20">
                  <c:v>157.1</c:v>
                </c:pt>
                <c:pt idx="21">
                  <c:v>175</c:v>
                </c:pt>
                <c:pt idx="22">
                  <c:v>187</c:v>
                </c:pt>
                <c:pt idx="23">
                  <c:v>186.7</c:v>
                </c:pt>
                <c:pt idx="24">
                  <c:v>198.6</c:v>
                </c:pt>
                <c:pt idx="25">
                  <c:v>220.3</c:v>
                </c:pt>
                <c:pt idx="26">
                  <c:v>241.78</c:v>
                </c:pt>
                <c:pt idx="27">
                  <c:v>262.5</c:v>
                </c:pt>
                <c:pt idx="28">
                  <c:v>262.5</c:v>
                </c:pt>
                <c:pt idx="29">
                  <c:v>283.8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C4-4887-A034-57C7F169B77C}"/>
            </c:ext>
          </c:extLst>
        </c:ser>
        <c:ser>
          <c:idx val="0"/>
          <c:order val="1"/>
          <c:tx>
            <c:strRef>
              <c:f>Sheet2!$K$2</c:f>
              <c:strCache>
                <c:ptCount val="1"/>
                <c:pt idx="0">
                  <c:v>Throughput UL(Min)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Sheet2!$I$3:$I$33</c:f>
              <c:numCache>
                <c:formatCode>General</c:formatCode>
                <c:ptCount val="31"/>
                <c:pt idx="0">
                  <c:v>20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24</c:v>
                </c:pt>
                <c:pt idx="5">
                  <c:v>25</c:v>
                </c:pt>
                <c:pt idx="6">
                  <c:v>26</c:v>
                </c:pt>
                <c:pt idx="7">
                  <c:v>27</c:v>
                </c:pt>
                <c:pt idx="8">
                  <c:v>28</c:v>
                </c:pt>
                <c:pt idx="9">
                  <c:v>29</c:v>
                </c:pt>
                <c:pt idx="10">
                  <c:v>30</c:v>
                </c:pt>
                <c:pt idx="11">
                  <c:v>31</c:v>
                </c:pt>
                <c:pt idx="12">
                  <c:v>32</c:v>
                </c:pt>
                <c:pt idx="13">
                  <c:v>33</c:v>
                </c:pt>
                <c:pt idx="14">
                  <c:v>34</c:v>
                </c:pt>
                <c:pt idx="15">
                  <c:v>35</c:v>
                </c:pt>
                <c:pt idx="16">
                  <c:v>36</c:v>
                </c:pt>
                <c:pt idx="17">
                  <c:v>37</c:v>
                </c:pt>
                <c:pt idx="18">
                  <c:v>38</c:v>
                </c:pt>
                <c:pt idx="19">
                  <c:v>39</c:v>
                </c:pt>
                <c:pt idx="20">
                  <c:v>40</c:v>
                </c:pt>
                <c:pt idx="21">
                  <c:v>41</c:v>
                </c:pt>
                <c:pt idx="22">
                  <c:v>42</c:v>
                </c:pt>
                <c:pt idx="23">
                  <c:v>43</c:v>
                </c:pt>
                <c:pt idx="24">
                  <c:v>44</c:v>
                </c:pt>
                <c:pt idx="25">
                  <c:v>45</c:v>
                </c:pt>
                <c:pt idx="26">
                  <c:v>46</c:v>
                </c:pt>
                <c:pt idx="27">
                  <c:v>47</c:v>
                </c:pt>
                <c:pt idx="28">
                  <c:v>48</c:v>
                </c:pt>
                <c:pt idx="29">
                  <c:v>49</c:v>
                </c:pt>
              </c:numCache>
            </c:numRef>
          </c:cat>
          <c:val>
            <c:numRef>
              <c:f>Sheet2!$K$3:$K$33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</c:v>
                </c:pt>
                <c:pt idx="11">
                  <c:v>22.3</c:v>
                </c:pt>
                <c:pt idx="12">
                  <c:v>27.4</c:v>
                </c:pt>
                <c:pt idx="13">
                  <c:v>35.700000000000003</c:v>
                </c:pt>
                <c:pt idx="14">
                  <c:v>43.8</c:v>
                </c:pt>
                <c:pt idx="15">
                  <c:v>43.8</c:v>
                </c:pt>
                <c:pt idx="16">
                  <c:v>53.8</c:v>
                </c:pt>
                <c:pt idx="17">
                  <c:v>63.8</c:v>
                </c:pt>
                <c:pt idx="18">
                  <c:v>74.7</c:v>
                </c:pt>
                <c:pt idx="19">
                  <c:v>85.5</c:v>
                </c:pt>
                <c:pt idx="20">
                  <c:v>96.5</c:v>
                </c:pt>
                <c:pt idx="21">
                  <c:v>96.6</c:v>
                </c:pt>
                <c:pt idx="22">
                  <c:v>107.4</c:v>
                </c:pt>
                <c:pt idx="23">
                  <c:v>123.3</c:v>
                </c:pt>
                <c:pt idx="24">
                  <c:v>139.19999999999999</c:v>
                </c:pt>
                <c:pt idx="25">
                  <c:v>157.1</c:v>
                </c:pt>
                <c:pt idx="26">
                  <c:v>175</c:v>
                </c:pt>
                <c:pt idx="27">
                  <c:v>187</c:v>
                </c:pt>
                <c:pt idx="28">
                  <c:v>198.6</c:v>
                </c:pt>
                <c:pt idx="29">
                  <c:v>198.6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C4-4887-A034-57C7F169B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090399"/>
        <c:axId val="1375431647"/>
      </c:lineChart>
      <c:catAx>
        <c:axId val="31009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rgbClr val="C00000"/>
                    </a:solidFill>
                    <a:latin typeface="Raleway" panose="020B0003030101060003" pitchFamily="34" charset="0"/>
                    <a:ea typeface="+mn-ea"/>
                    <a:cs typeface="+mn-cs"/>
                  </a:defRPr>
                </a:pPr>
                <a:r>
                  <a:rPr lang="en-US" altLang="ko-KR" sz="1800" b="1">
                    <a:solidFill>
                      <a:srgbClr val="C00000"/>
                    </a:solidFill>
                    <a:latin typeface="Raleway" panose="020B0003030101060003" pitchFamily="34" charset="0"/>
                  </a:rPr>
                  <a:t>Linear</a:t>
                </a:r>
                <a:r>
                  <a:rPr lang="en-US" altLang="ko-KR" sz="1800" b="1" baseline="0">
                    <a:solidFill>
                      <a:srgbClr val="C00000"/>
                    </a:solidFill>
                    <a:latin typeface="Raleway" panose="020B0003030101060003" pitchFamily="34" charset="0"/>
                  </a:rPr>
                  <a:t> EIRP (dBW)</a:t>
                </a:r>
                <a:endParaRPr lang="en-US" altLang="ko-KR" sz="1800" b="1">
                  <a:solidFill>
                    <a:srgbClr val="C00000"/>
                  </a:solidFill>
                  <a:latin typeface="Raleway" panose="020B00030301010600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rgbClr val="C00000"/>
                  </a:solidFill>
                  <a:latin typeface="Raleway" panose="020B0003030101060003" pitchFamily="34" charset="0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77"/>
                <a:ea typeface="+mn-ea"/>
                <a:cs typeface="+mn-cs"/>
              </a:defRPr>
            </a:pPr>
            <a:endParaRPr lang="ko-KR"/>
          </a:p>
        </c:txPr>
        <c:crossAx val="1375431647"/>
        <c:crosses val="autoZero"/>
        <c:auto val="1"/>
        <c:lblAlgn val="ctr"/>
        <c:lblOffset val="100"/>
        <c:noMultiLvlLbl val="0"/>
      </c:catAx>
      <c:valAx>
        <c:axId val="137543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rgbClr val="0000FF"/>
                    </a:solidFill>
                    <a:latin typeface="Raleway" panose="020B0003030101060003" pitchFamily="34" charset="0"/>
                    <a:ea typeface="+mn-ea"/>
                    <a:cs typeface="+mn-cs"/>
                  </a:defRPr>
                </a:pPr>
                <a:r>
                  <a:rPr lang="en-US" altLang="ko-KR" sz="1600">
                    <a:solidFill>
                      <a:srgbClr val="0000FF"/>
                    </a:solidFill>
                    <a:latin typeface="Raleway" panose="020B0003030101060003" pitchFamily="34" charset="0"/>
                  </a:rPr>
                  <a:t> Throughput</a:t>
                </a:r>
                <a:r>
                  <a:rPr lang="en-US" altLang="ko-KR" sz="1600" baseline="0">
                    <a:solidFill>
                      <a:srgbClr val="0000FF"/>
                    </a:solidFill>
                    <a:latin typeface="Raleway" panose="020B0003030101060003" pitchFamily="34" charset="0"/>
                  </a:rPr>
                  <a:t> (Mbps)</a:t>
                </a:r>
                <a:endParaRPr lang="en-US" altLang="ko-KR" sz="1600">
                  <a:solidFill>
                    <a:srgbClr val="0000FF"/>
                  </a:solidFill>
                  <a:latin typeface="Raleway" panose="020B00030301010600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rgbClr val="0000FF"/>
                  </a:solidFill>
                  <a:latin typeface="Raleway" panose="020B0003030101060003" pitchFamily="34" charset="0"/>
                  <a:ea typeface="+mn-ea"/>
                  <a:cs typeface="+mn-cs"/>
                </a:defRPr>
              </a:pPr>
              <a:endParaRPr lang="en-US" alt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Raleway" pitchFamily="2" charset="77"/>
                <a:ea typeface="+mn-ea"/>
                <a:cs typeface="+mn-cs"/>
              </a:defRPr>
            </a:pPr>
            <a:endParaRPr lang="ko-KR"/>
          </a:p>
        </c:txPr>
        <c:crossAx val="31009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586983136687057"/>
          <c:y val="0.17852097223232782"/>
          <c:w val="0.30737420756432021"/>
          <c:h val="0.14963615962869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Raleway" panose="020B0003030101060003" pitchFamily="34" charset="0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10</xdr:col>
      <xdr:colOff>836662</xdr:colOff>
      <xdr:row>21</xdr:row>
      <xdr:rowOff>192740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8C36794-BD29-4E69-82AD-15B8EFD04BD4}"/>
            </a:ext>
          </a:extLst>
        </xdr:cNvPr>
        <xdr:cNvGrpSpPr/>
      </xdr:nvGrpSpPr>
      <xdr:grpSpPr>
        <a:xfrm>
          <a:off x="11325225" y="1009650"/>
          <a:ext cx="4770487" cy="4321828"/>
          <a:chOff x="1474290" y="1404403"/>
          <a:chExt cx="8713702" cy="4715045"/>
        </a:xfrm>
      </xdr:grpSpPr>
      <xdr:pic>
        <xdr:nvPicPr>
          <xdr:cNvPr id="3" name="그림 2" descr="테이블, 디자인, 실내, 전시회이(가) 표시된 사진&#10;&#10;자동 생성된 설명">
            <a:extLst>
              <a:ext uri="{FF2B5EF4-FFF2-40B4-BE49-F238E27FC236}">
                <a16:creationId xmlns:a16="http://schemas.microsoft.com/office/drawing/2014/main" id="{09FE5CD8-4414-32C2-5D3A-0D5034EE25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601851" y="4159432"/>
            <a:ext cx="1586141" cy="1649080"/>
          </a:xfrm>
          <a:prstGeom prst="rect">
            <a:avLst/>
          </a:prstGeom>
        </xdr:spPr>
      </xdr:pic>
      <xdr:pic>
        <xdr:nvPicPr>
          <xdr:cNvPr id="4" name="그림 3" descr="위성, 교통이(가) 표시된 사진&#10;&#10;자동 생성된 설명">
            <a:extLst>
              <a:ext uri="{FF2B5EF4-FFF2-40B4-BE49-F238E27FC236}">
                <a16:creationId xmlns:a16="http://schemas.microsoft.com/office/drawing/2014/main" id="{3534C549-182B-80CD-0BD9-D3B806A13C2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5338063" y="1795056"/>
            <a:ext cx="1666007" cy="1181998"/>
          </a:xfrm>
          <a:prstGeom prst="rect">
            <a:avLst/>
          </a:prstGeom>
        </xdr:spPr>
      </xdr:pic>
      <xdr:pic>
        <xdr:nvPicPr>
          <xdr:cNvPr id="5" name="그림 4" descr="교통, 선박, 배, 조선공학이(가) 표시된 사진&#10;&#10;자동 생성된 설명">
            <a:extLst>
              <a:ext uri="{FF2B5EF4-FFF2-40B4-BE49-F238E27FC236}">
                <a16:creationId xmlns:a16="http://schemas.microsoft.com/office/drawing/2014/main" id="{0324D0F9-2E33-3023-7569-BD2AE3E724A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605799" y="4712044"/>
            <a:ext cx="2062459" cy="1096468"/>
          </a:xfrm>
          <a:prstGeom prst="rect">
            <a:avLst/>
          </a:prstGeom>
        </xdr:spPr>
      </xdr:pic>
      <xdr:sp macro="" textlink="">
        <xdr:nvSpPr>
          <xdr:cNvPr id="6" name="사각형: 둥근 모서리 5">
            <a:extLst>
              <a:ext uri="{FF2B5EF4-FFF2-40B4-BE49-F238E27FC236}">
                <a16:creationId xmlns:a16="http://schemas.microsoft.com/office/drawing/2014/main" id="{5F857CE7-97E7-95DA-F83E-57644E39C54F}"/>
              </a:ext>
            </a:extLst>
          </xdr:cNvPr>
          <xdr:cNvSpPr/>
        </xdr:nvSpPr>
        <xdr:spPr>
          <a:xfrm>
            <a:off x="2202458" y="4383515"/>
            <a:ext cx="2011660" cy="278149"/>
          </a:xfrm>
          <a:prstGeom prst="roundRect">
            <a:avLst>
              <a:gd name="adj" fmla="val 50000"/>
            </a:avLst>
          </a:prstGeom>
          <a:ln/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200" b="0" i="0" u="none" strike="noStrike" kern="0" cap="none" spc="0" normalizeH="0" baseline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effectLst/>
                <a:uLnTx/>
                <a:uFillTx/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Terminal</a:t>
            </a:r>
            <a:endParaRPr kumimoji="0" lang="ko-KR" altLang="en-US" sz="1200" b="0" i="0" u="none" strike="noStrike" kern="0" cap="none" spc="0" normalizeH="0" baseline="0">
              <a:ln>
                <a:solidFill>
                  <a:srgbClr val="4472C4">
                    <a:alpha val="0"/>
                  </a:srgbClr>
                </a:solidFill>
              </a:ln>
              <a:solidFill>
                <a:srgbClr val="0000FF"/>
              </a:solidFill>
              <a:effectLst/>
              <a:uLnTx/>
              <a:uFillTx/>
              <a:latin typeface="Pretendard SemiBold" panose="02000703000000020004" pitchFamily="2" charset="-127"/>
              <a:ea typeface="Pretendard SemiBold" panose="02000703000000020004" pitchFamily="2" charset="-127"/>
              <a:cs typeface="Pretendard SemiBold" panose="02000703000000020004" pitchFamily="2" charset="-127"/>
            </a:endParaRPr>
          </a:p>
        </xdr:txBody>
      </xdr:sp>
      <xdr:sp macro="" textlink="">
        <xdr:nvSpPr>
          <xdr:cNvPr id="7" name="사각형: 둥근 모서리 6">
            <a:extLst>
              <a:ext uri="{FF2B5EF4-FFF2-40B4-BE49-F238E27FC236}">
                <a16:creationId xmlns:a16="http://schemas.microsoft.com/office/drawing/2014/main" id="{74B18752-F412-4024-20C0-9FE85A0DF08D}"/>
              </a:ext>
            </a:extLst>
          </xdr:cNvPr>
          <xdr:cNvSpPr/>
        </xdr:nvSpPr>
        <xdr:spPr>
          <a:xfrm>
            <a:off x="7004070" y="4402060"/>
            <a:ext cx="1801003" cy="278149"/>
          </a:xfrm>
          <a:prstGeom prst="roundRect">
            <a:avLst>
              <a:gd name="adj" fmla="val 50000"/>
            </a:avLst>
          </a:prstGeom>
          <a:ln/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latinLnBrk="0">
              <a:defRPr/>
            </a:pPr>
            <a:r>
              <a:rPr lang="en-US" altLang="ko-KR" sz="1200" kern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Gateway</a:t>
            </a:r>
            <a:endParaRPr kumimoji="0" lang="ko-KR" altLang="en-US" sz="1200" b="0" i="0" u="none" strike="noStrike" kern="0" cap="none" spc="0" normalizeH="0" baseline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Pretendard" panose="02000503000000020004" pitchFamily="2" charset="-127"/>
              <a:ea typeface="Pretendard" panose="02000503000000020004" pitchFamily="2" charset="-127"/>
            </a:endParaRPr>
          </a:p>
        </xdr:txBody>
      </xdr:sp>
      <xdr:sp macro="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6BFDE1FD-8A67-0AD8-BD48-7DEE3986FC86}"/>
              </a:ext>
            </a:extLst>
          </xdr:cNvPr>
          <xdr:cNvSpPr/>
        </xdr:nvSpPr>
        <xdr:spPr>
          <a:xfrm>
            <a:off x="3509092" y="1404403"/>
            <a:ext cx="4622178" cy="278149"/>
          </a:xfrm>
          <a:prstGeom prst="roundRect">
            <a:avLst>
              <a:gd name="adj" fmla="val 50000"/>
            </a:avLst>
          </a:prstGeom>
          <a:ln/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200" b="0" i="0" u="none" strike="noStrike" kern="0" cap="none" spc="0" normalizeH="0" baseline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effectLst/>
                <a:uLnTx/>
                <a:uFillTx/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6</a:t>
            </a:r>
            <a:r>
              <a:rPr lang="en-US" altLang="ko-KR" sz="1200" kern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G</a:t>
            </a:r>
            <a:r>
              <a:rPr lang="ko-KR" altLang="en-US" sz="1200" kern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 </a:t>
            </a:r>
            <a:r>
              <a:rPr kumimoji="0" lang="en-US" altLang="ko-KR" sz="1200" b="0" i="0" u="none" strike="noStrike" kern="0" cap="none" spc="0" normalizeH="0" baseline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effectLst/>
                <a:uLnTx/>
                <a:uFillTx/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LEO Satellite (</a:t>
            </a:r>
            <a:r>
              <a:rPr kumimoji="0" lang="ko-KR" altLang="en-US" sz="1200" b="0" i="0" u="none" strike="noStrike" kern="0" cap="none" spc="0" normalizeH="0" baseline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effectLst/>
                <a:uLnTx/>
                <a:uFillTx/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위성 기지국</a:t>
            </a:r>
            <a:r>
              <a:rPr kumimoji="0" lang="en-US" altLang="ko-KR" sz="1200" b="0" i="0" u="none" strike="noStrike" kern="0" cap="none" spc="0" normalizeH="0" baseline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effectLst/>
                <a:uLnTx/>
                <a:uFillTx/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)</a:t>
            </a:r>
            <a:endParaRPr kumimoji="0" lang="ko-KR" altLang="en-US" sz="1200" b="0" i="0" u="none" strike="noStrike" kern="0" cap="none" spc="0" normalizeH="0" baseline="0">
              <a:ln>
                <a:solidFill>
                  <a:srgbClr val="4472C4">
                    <a:alpha val="0"/>
                  </a:srgbClr>
                </a:solidFill>
              </a:ln>
              <a:solidFill>
                <a:srgbClr val="0000FF"/>
              </a:solidFill>
              <a:effectLst/>
              <a:uLnTx/>
              <a:uFillTx/>
              <a:latin typeface="Pretendard SemiBold" panose="02000703000000020004" pitchFamily="2" charset="-127"/>
              <a:ea typeface="Pretendard SemiBold" panose="02000703000000020004" pitchFamily="2" charset="-127"/>
              <a:cs typeface="Pretendard SemiBold" panose="02000703000000020004" pitchFamily="2" charset="-127"/>
            </a:endParaRPr>
          </a:p>
        </xdr:txBody>
      </xdr:sp>
      <xdr:cxnSp macro="">
        <xdr:nvCxnSpPr>
          <xdr:cNvPr id="9" name="직선 화살표 연결선 8">
            <a:extLst>
              <a:ext uri="{FF2B5EF4-FFF2-40B4-BE49-F238E27FC236}">
                <a16:creationId xmlns:a16="http://schemas.microsoft.com/office/drawing/2014/main" id="{198FC9FB-F30B-4646-0695-A22B43ADC355}"/>
              </a:ext>
            </a:extLst>
          </xdr:cNvPr>
          <xdr:cNvCxnSpPr>
            <a:cxnSpLocks/>
          </xdr:cNvCxnSpPr>
        </xdr:nvCxnSpPr>
        <xdr:spPr>
          <a:xfrm flipH="1">
            <a:off x="3617457" y="2797277"/>
            <a:ext cx="2196255" cy="1540714"/>
          </a:xfrm>
          <a:prstGeom prst="straightConnector1">
            <a:avLst/>
          </a:prstGeom>
          <a:noFill/>
          <a:ln w="25400" cap="flat" cmpd="sng" algn="ctr">
            <a:solidFill>
              <a:srgbClr val="FFC000">
                <a:lumMod val="60000"/>
                <a:lumOff val="40000"/>
              </a:srgbClr>
            </a:solidFill>
            <a:prstDash val="sysDot"/>
            <a:miter lim="800000"/>
            <a:headEnd type="triangle" w="lg" len="lg"/>
            <a:tailEnd type="triangle" w="lg" len="lg"/>
          </a:ln>
          <a:effectLst/>
        </xdr:spPr>
      </xdr:cxnSp>
      <xdr:cxnSp macro="">
        <xdr:nvCxnSpPr>
          <xdr:cNvPr id="10" name="직선 화살표 연결선 9">
            <a:extLst>
              <a:ext uri="{FF2B5EF4-FFF2-40B4-BE49-F238E27FC236}">
                <a16:creationId xmlns:a16="http://schemas.microsoft.com/office/drawing/2014/main" id="{992D3158-B718-5C12-B483-64943A5AD74E}"/>
              </a:ext>
            </a:extLst>
          </xdr:cNvPr>
          <xdr:cNvCxnSpPr>
            <a:cxnSpLocks/>
          </xdr:cNvCxnSpPr>
        </xdr:nvCxnSpPr>
        <xdr:spPr>
          <a:xfrm>
            <a:off x="6670964" y="2945473"/>
            <a:ext cx="2356155" cy="1563295"/>
          </a:xfrm>
          <a:prstGeom prst="straightConnector1">
            <a:avLst/>
          </a:prstGeom>
          <a:noFill/>
          <a:ln w="25400" cap="flat" cmpd="sng" algn="ctr">
            <a:solidFill>
              <a:srgbClr val="00FFFF"/>
            </a:solidFill>
            <a:prstDash val="sysDot"/>
            <a:miter lim="800000"/>
            <a:headEnd type="triangle" w="lg" len="lg"/>
            <a:tailEnd type="triangle" w="lg" len="lg"/>
          </a:ln>
          <a:effectLst/>
        </xdr:spPr>
      </xdr:cxnSp>
      <xdr:sp macro="" textlink="">
        <xdr:nvSpPr>
          <xdr:cNvPr id="11" name="TextBox 560">
            <a:extLst>
              <a:ext uri="{FF2B5EF4-FFF2-40B4-BE49-F238E27FC236}">
                <a16:creationId xmlns:a16="http://schemas.microsoft.com/office/drawing/2014/main" id="{EEC1A2BF-4648-7234-9054-9CFC32A9FA63}"/>
              </a:ext>
            </a:extLst>
          </xdr:cNvPr>
          <xdr:cNvSpPr txBox="1"/>
        </xdr:nvSpPr>
        <xdr:spPr>
          <a:xfrm>
            <a:off x="4418618" y="3767341"/>
            <a:ext cx="1563169" cy="204120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200" b="0" i="0" u="none" strike="noStrike" kern="1200" cap="none" spc="0" normalizeH="0" baseline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FFC000">
                    <a:lumMod val="60000"/>
                    <a:lumOff val="40000"/>
                  </a:srgbClr>
                </a:solidFill>
                <a:effectLst/>
                <a:uLnTx/>
                <a:uFillTx/>
                <a:latin typeface="Pretendard ExtraBold" panose="02000903000000020004" pitchFamily="2" charset="-127"/>
                <a:ea typeface="Pretendard ExtraBold" panose="02000903000000020004" pitchFamily="2" charset="-127"/>
                <a:cs typeface="Pretendard ExtraBold" panose="02000903000000020004" pitchFamily="2" charset="-127"/>
              </a:rPr>
              <a:t>Service Link</a:t>
            </a:r>
            <a:endParaRPr kumimoji="0" lang="ko-KR" altLang="en-US" sz="1200" b="0" i="0" u="none" strike="noStrike" kern="1200" cap="none" spc="0" normalizeH="0" baseline="0">
              <a:ln>
                <a:solidFill>
                  <a:srgbClr val="4472C4">
                    <a:alpha val="0"/>
                  </a:srgbClr>
                </a:solidFill>
              </a:ln>
              <a:solidFill>
                <a:srgbClr val="FFC000">
                  <a:lumMod val="60000"/>
                  <a:lumOff val="40000"/>
                </a:srgbClr>
              </a:solidFill>
              <a:effectLst/>
              <a:uLnTx/>
              <a:uFillTx/>
              <a:latin typeface="Pretendard ExtraBold" panose="02000903000000020004" pitchFamily="2" charset="-127"/>
              <a:ea typeface="Pretendard ExtraBold" panose="02000903000000020004" pitchFamily="2" charset="-127"/>
              <a:cs typeface="Pretendard ExtraBold" panose="02000903000000020004" pitchFamily="2" charset="-127"/>
            </a:endParaRPr>
          </a:p>
        </xdr:txBody>
      </xdr:sp>
      <xdr:sp macro="" textlink="">
        <xdr:nvSpPr>
          <xdr:cNvPr id="12" name="TextBox 561">
            <a:extLst>
              <a:ext uri="{FF2B5EF4-FFF2-40B4-BE49-F238E27FC236}">
                <a16:creationId xmlns:a16="http://schemas.microsoft.com/office/drawing/2014/main" id="{749E7538-FEAD-AEF8-8BB4-2671CAB21AB5}"/>
              </a:ext>
            </a:extLst>
          </xdr:cNvPr>
          <xdr:cNvSpPr txBox="1"/>
        </xdr:nvSpPr>
        <xdr:spPr>
          <a:xfrm>
            <a:off x="6333469" y="3768665"/>
            <a:ext cx="1616268" cy="201468"/>
          </a:xfrm>
          <a:prstGeom prst="rect">
            <a:avLst/>
          </a:prstGeom>
          <a:noFill/>
        </xdr:spPr>
        <xdr:txBody>
          <a:bodyPr wrap="square" lIns="0" tIns="0" rIns="0" bIns="0" rtlCol="0" anchor="ctr" anchorCtr="0">
            <a:sp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ctr" defTabSz="914400" rtl="0" eaLnBrk="1" fontAlgn="auto" latinLnBrk="1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altLang="ko-KR" sz="1200" b="0" i="0" u="none" strike="noStrike" kern="1200" cap="none" spc="0" normalizeH="0" baseline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FFFF"/>
                </a:solidFill>
                <a:effectLst/>
                <a:uLnTx/>
                <a:uFillTx/>
                <a:latin typeface="Pretendard ExtraBold" panose="02000903000000020004" pitchFamily="2" charset="-127"/>
                <a:ea typeface="Pretendard ExtraBold" panose="02000903000000020004" pitchFamily="2" charset="-127"/>
                <a:cs typeface="Pretendard ExtraBold" panose="02000903000000020004" pitchFamily="2" charset="-127"/>
              </a:rPr>
              <a:t>Feeder Link </a:t>
            </a:r>
            <a:endParaRPr kumimoji="0" lang="ko-KR" altLang="en-US" sz="1200" b="0" i="0" u="none" strike="noStrike" kern="1200" cap="none" spc="0" normalizeH="0" baseline="0">
              <a:ln>
                <a:solidFill>
                  <a:srgbClr val="4472C4">
                    <a:alpha val="0"/>
                  </a:srgbClr>
                </a:solidFill>
              </a:ln>
              <a:solidFill>
                <a:srgbClr val="00FFFF"/>
              </a:solidFill>
              <a:effectLst/>
              <a:uLnTx/>
              <a:uFillTx/>
              <a:latin typeface="Pretendard ExtraBold" panose="02000903000000020004" pitchFamily="2" charset="-127"/>
              <a:ea typeface="Pretendard ExtraBold" panose="02000903000000020004" pitchFamily="2" charset="-127"/>
              <a:cs typeface="Pretendard ExtraBold" panose="02000903000000020004" pitchFamily="2" charset="-127"/>
            </a:endParaRPr>
          </a:p>
        </xdr:txBody>
      </xdr:sp>
      <xdr:sp macro="" textlink="">
        <xdr:nvSpPr>
          <xdr:cNvPr id="13" name="사각형: 둥근 모서리 12">
            <a:extLst>
              <a:ext uri="{FF2B5EF4-FFF2-40B4-BE49-F238E27FC236}">
                <a16:creationId xmlns:a16="http://schemas.microsoft.com/office/drawing/2014/main" id="{1F4FE376-8CB5-2DB8-13F9-E5453F235A02}"/>
              </a:ext>
            </a:extLst>
          </xdr:cNvPr>
          <xdr:cNvSpPr/>
        </xdr:nvSpPr>
        <xdr:spPr>
          <a:xfrm>
            <a:off x="8320535" y="5808512"/>
            <a:ext cx="1666006" cy="278149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0">
                <a:schemeClr val="accent4">
                  <a:lumMod val="5000"/>
                  <a:lumOff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5400000" scaled="1"/>
            <a:tileRect/>
          </a:gradFill>
          <a:ln/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lvl="0" algn="ctr" latinLnBrk="0">
              <a:defRPr/>
            </a:pPr>
            <a:r>
              <a:rPr lang="en-US" altLang="ko-KR" sz="1200" kern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6G Core</a:t>
            </a:r>
            <a:endParaRPr kumimoji="0" lang="ko-KR" altLang="en-US" sz="1200" b="0" i="0" u="none" strike="noStrike" kern="0" cap="none" spc="0" normalizeH="0" baseline="0">
              <a:ln>
                <a:noFill/>
              </a:ln>
              <a:solidFill>
                <a:srgbClr val="0000FF"/>
              </a:solidFill>
              <a:effectLst/>
              <a:uLnTx/>
              <a:uFillTx/>
              <a:latin typeface="Pretendard" panose="02000503000000020004" pitchFamily="2" charset="-127"/>
              <a:ea typeface="Pretendard" panose="02000503000000020004" pitchFamily="2" charset="-127"/>
            </a:endParaRPr>
          </a:p>
        </xdr:txBody>
      </xdr:sp>
      <xdr:sp macro="" textlink="">
        <xdr:nvSpPr>
          <xdr:cNvPr id="14" name="자유형: 도형 13">
            <a:extLst>
              <a:ext uri="{FF2B5EF4-FFF2-40B4-BE49-F238E27FC236}">
                <a16:creationId xmlns:a16="http://schemas.microsoft.com/office/drawing/2014/main" id="{724C91F4-4241-07BA-0537-4EC016299A81}"/>
              </a:ext>
            </a:extLst>
          </xdr:cNvPr>
          <xdr:cNvSpPr/>
        </xdr:nvSpPr>
        <xdr:spPr>
          <a:xfrm>
            <a:off x="3178484" y="2574898"/>
            <a:ext cx="5985163" cy="1859527"/>
          </a:xfrm>
          <a:custGeom>
            <a:avLst/>
            <a:gdLst>
              <a:gd name="connsiteX0" fmla="*/ 0 w 5985163"/>
              <a:gd name="connsiteY0" fmla="*/ 2125372 h 2276040"/>
              <a:gd name="connsiteX1" fmla="*/ 2873086 w 5985163"/>
              <a:gd name="connsiteY1" fmla="*/ 431 h 2276040"/>
              <a:gd name="connsiteX2" fmla="*/ 5985163 w 5985163"/>
              <a:gd name="connsiteY2" fmla="*/ 2276040 h 227604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w="5985163" h="2276040">
                <a:moveTo>
                  <a:pt x="0" y="2125372"/>
                </a:moveTo>
                <a:cubicBezTo>
                  <a:pt x="937779" y="1050346"/>
                  <a:pt x="1875559" y="-24680"/>
                  <a:pt x="2873086" y="431"/>
                </a:cubicBezTo>
                <a:cubicBezTo>
                  <a:pt x="3870613" y="25542"/>
                  <a:pt x="4927888" y="1150791"/>
                  <a:pt x="5985163" y="2276040"/>
                </a:cubicBezTo>
              </a:path>
            </a:pathLst>
          </a:custGeom>
          <a:noFill/>
          <a:ln w="127000">
            <a:solidFill>
              <a:schemeClr val="accent2">
                <a:alpha val="66000"/>
              </a:schemeClr>
            </a:solidFill>
            <a:headEnd type="triangle"/>
            <a:tailEnd type="triangle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200"/>
          </a:p>
        </xdr:txBody>
      </xdr:sp>
      <xdr:sp macro="" textlink="">
        <xdr:nvSpPr>
          <xdr:cNvPr id="15" name="사각형: 둥근 모서리 14">
            <a:extLst>
              <a:ext uri="{FF2B5EF4-FFF2-40B4-BE49-F238E27FC236}">
                <a16:creationId xmlns:a16="http://schemas.microsoft.com/office/drawing/2014/main" id="{C0F6C377-48EB-BC64-B1A3-468CEE00D308}"/>
              </a:ext>
            </a:extLst>
          </xdr:cNvPr>
          <xdr:cNvSpPr/>
        </xdr:nvSpPr>
        <xdr:spPr>
          <a:xfrm>
            <a:off x="1474290" y="5841299"/>
            <a:ext cx="2937165" cy="278149"/>
          </a:xfrm>
          <a:prstGeom prst="roundRect">
            <a:avLst>
              <a:gd name="adj" fmla="val 50000"/>
            </a:avLst>
          </a:prstGeom>
          <a:gradFill flip="none" rotWithShape="1">
            <a:gsLst>
              <a:gs pos="0">
                <a:schemeClr val="accent4">
                  <a:lumMod val="5000"/>
                  <a:lumOff val="95000"/>
                </a:schemeClr>
              </a:gs>
              <a:gs pos="74000">
                <a:schemeClr val="accent4">
                  <a:lumMod val="45000"/>
                  <a:lumOff val="55000"/>
                </a:schemeClr>
              </a:gs>
              <a:gs pos="83000">
                <a:schemeClr val="accent4">
                  <a:lumMod val="45000"/>
                  <a:lumOff val="55000"/>
                </a:schemeClr>
              </a:gs>
              <a:gs pos="100000">
                <a:schemeClr val="accent4">
                  <a:lumMod val="30000"/>
                  <a:lumOff val="70000"/>
                </a:schemeClr>
              </a:gs>
            </a:gsLst>
            <a:lin ang="5400000" scaled="1"/>
            <a:tileRect/>
          </a:gradFill>
          <a:ln/>
        </xdr:spPr>
        <xdr:style>
          <a:lnRef idx="1">
            <a:schemeClr val="accent4"/>
          </a:lnRef>
          <a:fillRef idx="3">
            <a:schemeClr val="accent4"/>
          </a:fillRef>
          <a:effectRef idx="2">
            <a:schemeClr val="accent4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 latinLnBrk="0">
              <a:defRPr/>
            </a:pPr>
            <a:r>
              <a:rPr lang="en-US" altLang="ko-KR" sz="1200" kern="0">
                <a:ln>
                  <a:solidFill>
                    <a:srgbClr val="4472C4">
                      <a:alpha val="0"/>
                    </a:srgbClr>
                  </a:solidFill>
                </a:ln>
                <a:solidFill>
                  <a:srgbClr val="0000FF"/>
                </a:solidFill>
                <a:latin typeface="Pretendard SemiBold" panose="02000703000000020004" pitchFamily="2" charset="-127"/>
                <a:ea typeface="Pretendard SemiBold" panose="02000703000000020004" pitchFamily="2" charset="-127"/>
                <a:cs typeface="Pretendard SemiBold" panose="02000703000000020004" pitchFamily="2" charset="-127"/>
              </a:rPr>
              <a:t>Autonomous ships</a:t>
            </a:r>
            <a:endParaRPr lang="ko-KR" altLang="en-US" sz="1200" kern="0">
              <a:ln>
                <a:solidFill>
                  <a:srgbClr val="4472C4">
                    <a:alpha val="0"/>
                  </a:srgbClr>
                </a:solidFill>
              </a:ln>
              <a:solidFill>
                <a:srgbClr val="0000FF"/>
              </a:solidFill>
              <a:latin typeface="Pretendard SemiBold" panose="02000703000000020004" pitchFamily="2" charset="-127"/>
              <a:ea typeface="Pretendard SemiBold" panose="02000703000000020004" pitchFamily="2" charset="-127"/>
              <a:cs typeface="Pretendard SemiBold" panose="02000703000000020004" pitchFamily="2" charset="-127"/>
            </a:endParaRPr>
          </a:p>
        </xdr:txBody>
      </xdr:sp>
    </xdr:grpSp>
    <xdr:clientData/>
  </xdr:twoCellAnchor>
  <xdr:twoCellAnchor>
    <xdr:from>
      <xdr:col>6</xdr:col>
      <xdr:colOff>757236</xdr:colOff>
      <xdr:row>7</xdr:row>
      <xdr:rowOff>233362</xdr:rowOff>
    </xdr:from>
    <xdr:to>
      <xdr:col>7</xdr:col>
      <xdr:colOff>1052511</xdr:colOff>
      <xdr:row>13</xdr:row>
      <xdr:rowOff>223837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F3D7336B-55A4-4C60-8276-B1EEECB53CE9}"/>
            </a:ext>
          </a:extLst>
        </xdr:cNvPr>
        <xdr:cNvCxnSpPr/>
      </xdr:nvCxnSpPr>
      <xdr:spPr>
        <a:xfrm flipH="1">
          <a:off x="12082461" y="1971675"/>
          <a:ext cx="1123950" cy="144780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661986</xdr:colOff>
      <xdr:row>7</xdr:row>
      <xdr:rowOff>185736</xdr:rowOff>
    </xdr:from>
    <xdr:to>
      <xdr:col>7</xdr:col>
      <xdr:colOff>957261</xdr:colOff>
      <xdr:row>13</xdr:row>
      <xdr:rowOff>176211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28FE9E61-780D-4219-8389-7AC8569CE2FD}"/>
            </a:ext>
          </a:extLst>
        </xdr:cNvPr>
        <xdr:cNvCxnSpPr/>
      </xdr:nvCxnSpPr>
      <xdr:spPr>
        <a:xfrm flipH="1">
          <a:off x="11987211" y="1924049"/>
          <a:ext cx="1123950" cy="1447800"/>
        </a:xfrm>
        <a:prstGeom prst="straightConnector1">
          <a:avLst/>
        </a:prstGeom>
        <a:ln>
          <a:solidFill>
            <a:srgbClr val="FF0000"/>
          </a:solidFill>
          <a:headEnd type="triangle" w="med" len="med"/>
          <a:tailEnd type="none" w="med" len="me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709610</xdr:colOff>
      <xdr:row>10</xdr:row>
      <xdr:rowOff>204790</xdr:rowOff>
    </xdr:from>
    <xdr:to>
      <xdr:col>7</xdr:col>
      <xdr:colOff>585785</xdr:colOff>
      <xdr:row>11</xdr:row>
      <xdr:rowOff>223839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1B8192A3-9227-497A-A195-8D91849BBB30}"/>
            </a:ext>
          </a:extLst>
        </xdr:cNvPr>
        <xdr:cNvSpPr/>
      </xdr:nvSpPr>
      <xdr:spPr>
        <a:xfrm>
          <a:off x="12034835" y="2671765"/>
          <a:ext cx="704850" cy="261937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Uplink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352420</xdr:colOff>
      <xdr:row>9</xdr:row>
      <xdr:rowOff>166692</xdr:rowOff>
    </xdr:from>
    <xdr:to>
      <xdr:col>7</xdr:col>
      <xdr:colOff>1057270</xdr:colOff>
      <xdr:row>10</xdr:row>
      <xdr:rowOff>185742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576CEBA5-B4CC-4813-ADD7-61F00D7ACCD8}"/>
            </a:ext>
          </a:extLst>
        </xdr:cNvPr>
        <xdr:cNvSpPr/>
      </xdr:nvSpPr>
      <xdr:spPr>
        <a:xfrm>
          <a:off x="12506320" y="2390780"/>
          <a:ext cx="704850" cy="261937"/>
        </a:xfrm>
        <a:prstGeom prst="rect">
          <a:avLst/>
        </a:prstGeom>
        <a:solidFill>
          <a:schemeClr val="bg1"/>
        </a:solidFill>
        <a:ln>
          <a:solidFill>
            <a:srgbClr val="0000FF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>
              <a:solidFill>
                <a:schemeClr val="tx1"/>
              </a:solidFill>
            </a:rPr>
            <a:t>Downlink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376918</xdr:colOff>
      <xdr:row>2</xdr:row>
      <xdr:rowOff>420460</xdr:rowOff>
    </xdr:from>
    <xdr:to>
      <xdr:col>33</xdr:col>
      <xdr:colOff>340598</xdr:colOff>
      <xdr:row>13</xdr:row>
      <xdr:rowOff>137131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68607C-3349-4D0D-A2C5-FE9A79384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400079" y="808264"/>
          <a:ext cx="7515645" cy="25401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637461</xdr:colOff>
      <xdr:row>34</xdr:row>
      <xdr:rowOff>83535</xdr:rowOff>
    </xdr:from>
    <xdr:to>
      <xdr:col>8</xdr:col>
      <xdr:colOff>1598197</xdr:colOff>
      <xdr:row>63</xdr:row>
      <xdr:rowOff>112398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9B7DC9D-9B4C-ED50-6775-66A0DE389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2476500</xdr:colOff>
      <xdr:row>34</xdr:row>
      <xdr:rowOff>67236</xdr:rowOff>
    </xdr:from>
    <xdr:to>
      <xdr:col>17</xdr:col>
      <xdr:colOff>445266</xdr:colOff>
      <xdr:row>63</xdr:row>
      <xdr:rowOff>96099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A2ECF3-7679-49D8-B3B5-4CDFED58C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993273-7B50-45D9-9C35-1C29E4E65A0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3fde477-159b-4f7a-aa25-27b96c52774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D2DC3-BE98-754B-BAFE-36B81AB1184D}">
  <sheetPr>
    <tabColor rgb="FFFFFF00"/>
  </sheetPr>
  <dimension ref="A3:L73"/>
  <sheetViews>
    <sheetView tabSelected="1" zoomScaleNormal="100" workbookViewId="0"/>
  </sheetViews>
  <sheetFormatPr defaultColWidth="11.44140625" defaultRowHeight="19.149999999999999"/>
  <cols>
    <col min="1" max="1" width="11.44140625" style="37"/>
    <col min="2" max="2" width="61.109375" style="12" customWidth="1"/>
    <col min="3" max="3" width="13" style="12" bestFit="1" customWidth="1"/>
    <col min="4" max="4" width="23.6640625" style="12" customWidth="1"/>
    <col min="7" max="7" width="9.6640625" bestFit="1" customWidth="1"/>
    <col min="8" max="8" width="13.33203125" bestFit="1" customWidth="1"/>
  </cols>
  <sheetData>
    <row r="3" spans="1:6" ht="22.15">
      <c r="A3" s="88" t="s">
        <v>0</v>
      </c>
      <c r="B3" s="49" t="s">
        <v>1</v>
      </c>
      <c r="C3" s="50" t="s">
        <v>2</v>
      </c>
      <c r="D3" s="50" t="s">
        <v>3</v>
      </c>
      <c r="E3" s="64"/>
      <c r="F3" s="64" t="s">
        <v>4</v>
      </c>
    </row>
    <row r="4" spans="1:6">
      <c r="A4" s="88"/>
      <c r="B4" s="3" t="s">
        <v>5</v>
      </c>
      <c r="C4" s="4" t="s">
        <v>6</v>
      </c>
      <c r="D4" s="19">
        <v>14.5</v>
      </c>
      <c r="E4" s="64" t="s">
        <v>7</v>
      </c>
      <c r="F4" s="64" t="s">
        <v>8</v>
      </c>
    </row>
    <row r="5" spans="1:6">
      <c r="A5" s="88"/>
      <c r="B5" s="5" t="s">
        <v>9</v>
      </c>
      <c r="C5" s="6" t="s">
        <v>10</v>
      </c>
      <c r="D5" s="18">
        <v>50</v>
      </c>
    </row>
    <row r="6" spans="1:6">
      <c r="A6" s="88"/>
      <c r="B6" s="41" t="s">
        <v>11</v>
      </c>
      <c r="C6" s="6" t="s">
        <v>12</v>
      </c>
      <c r="D6" s="18">
        <v>0.18</v>
      </c>
    </row>
    <row r="7" spans="1:6">
      <c r="A7" s="88"/>
      <c r="B7" s="5" t="s">
        <v>13</v>
      </c>
      <c r="C7" s="6" t="s">
        <v>14</v>
      </c>
      <c r="D7" s="18">
        <v>35786</v>
      </c>
    </row>
    <row r="8" spans="1:6">
      <c r="A8" s="88"/>
      <c r="B8" s="15" t="s">
        <v>15</v>
      </c>
      <c r="C8" s="6" t="s">
        <v>16</v>
      </c>
      <c r="D8" s="18">
        <v>21</v>
      </c>
    </row>
    <row r="9" spans="1:6">
      <c r="A9" s="88"/>
      <c r="B9" s="15" t="s">
        <v>17</v>
      </c>
      <c r="C9" s="6" t="s">
        <v>14</v>
      </c>
      <c r="D9" s="7">
        <f>SQRT((6371+D7)^2 - (6371*COS(RADIANS(D8)))^2) - 6371*SIN(RADIANS(D8))</f>
        <v>39452.144641024192</v>
      </c>
    </row>
    <row r="10" spans="1:6">
      <c r="A10" s="88"/>
      <c r="B10" s="15" t="s">
        <v>18</v>
      </c>
      <c r="C10" s="6" t="s">
        <v>19</v>
      </c>
      <c r="D10" s="20">
        <v>8</v>
      </c>
    </row>
    <row r="11" spans="1:6">
      <c r="A11" s="88"/>
      <c r="B11" s="15" t="s">
        <v>20</v>
      </c>
      <c r="C11" s="6" t="s">
        <v>21</v>
      </c>
      <c r="D11" s="16">
        <v>70</v>
      </c>
    </row>
    <row r="12" spans="1:6">
      <c r="A12" s="88"/>
      <c r="B12" s="41" t="s">
        <v>22</v>
      </c>
      <c r="C12" s="6" t="s">
        <v>21</v>
      </c>
      <c r="D12" s="8">
        <f>D11-10*LOG(D10)</f>
        <v>60.969100130080562</v>
      </c>
    </row>
    <row r="13" spans="1:6">
      <c r="A13" s="88"/>
      <c r="B13" s="59" t="s">
        <v>23</v>
      </c>
      <c r="C13" s="60" t="s">
        <v>24</v>
      </c>
      <c r="D13" s="62">
        <v>3</v>
      </c>
    </row>
    <row r="14" spans="1:6">
      <c r="A14" s="88"/>
      <c r="B14" s="41" t="s">
        <v>25</v>
      </c>
      <c r="C14" s="6" t="s">
        <v>21</v>
      </c>
      <c r="D14" s="51">
        <f>D11-D13</f>
        <v>67</v>
      </c>
    </row>
    <row r="15" spans="1:6">
      <c r="A15" s="88"/>
      <c r="B15" s="76" t="s">
        <v>26</v>
      </c>
      <c r="C15" s="77" t="s">
        <v>21</v>
      </c>
      <c r="D15" s="78">
        <f>D12-D13</f>
        <v>57.969100130080562</v>
      </c>
    </row>
    <row r="16" spans="1:6">
      <c r="A16" s="88"/>
      <c r="B16" s="41" t="s">
        <v>27</v>
      </c>
      <c r="C16" s="6" t="s">
        <v>28</v>
      </c>
      <c r="D16" s="8">
        <f>92.45+20*LOG10(D4)+20*LOG10(D7)</f>
        <v>206.75162319662309</v>
      </c>
    </row>
    <row r="17" spans="1:9">
      <c r="A17" s="88"/>
      <c r="B17" s="41" t="s">
        <v>29</v>
      </c>
      <c r="C17" s="6" t="s">
        <v>28</v>
      </c>
      <c r="D17" s="8">
        <f>92.45+20*LOG10(D4)+20*LOG10(D9)</f>
        <v>207.59877237834397</v>
      </c>
    </row>
    <row r="18" spans="1:9">
      <c r="A18" s="88"/>
      <c r="B18" s="63" t="s">
        <v>30</v>
      </c>
      <c r="C18" s="45" t="s">
        <v>28</v>
      </c>
      <c r="D18" s="53">
        <v>8</v>
      </c>
    </row>
    <row r="19" spans="1:9">
      <c r="A19" s="88"/>
      <c r="B19" s="63" t="s">
        <v>31</v>
      </c>
      <c r="C19" s="45" t="s">
        <v>28</v>
      </c>
      <c r="D19" s="53">
        <v>0</v>
      </c>
    </row>
    <row r="20" spans="1:9">
      <c r="A20" s="88"/>
      <c r="B20" s="63" t="s">
        <v>32</v>
      </c>
      <c r="C20" s="45" t="s">
        <v>28</v>
      </c>
      <c r="D20" s="53">
        <v>0</v>
      </c>
    </row>
    <row r="21" spans="1:9">
      <c r="A21" s="88"/>
      <c r="B21" s="41" t="s">
        <v>33</v>
      </c>
      <c r="C21" s="46" t="s">
        <v>34</v>
      </c>
      <c r="D21" s="54">
        <f>D25-10*LOG(D22)-D26</f>
        <v>9.7472857126198065</v>
      </c>
    </row>
    <row r="22" spans="1:9">
      <c r="A22" s="88"/>
      <c r="B22" s="41" t="s">
        <v>35</v>
      </c>
      <c r="C22" s="46" t="s">
        <v>36</v>
      </c>
      <c r="D22" s="54">
        <f>(10^(D24/10)-1)*290+D23</f>
        <v>473.4470651377784</v>
      </c>
    </row>
    <row r="23" spans="1:9">
      <c r="A23" s="88"/>
      <c r="B23" s="41" t="s">
        <v>37</v>
      </c>
      <c r="C23" s="46" t="s">
        <v>36</v>
      </c>
      <c r="D23" s="55">
        <v>35</v>
      </c>
    </row>
    <row r="24" spans="1:9">
      <c r="A24" s="88"/>
      <c r="B24" s="41" t="s">
        <v>38</v>
      </c>
      <c r="C24" s="46" t="s">
        <v>28</v>
      </c>
      <c r="D24" s="56">
        <v>4</v>
      </c>
      <c r="G24" s="64"/>
      <c r="H24" s="64"/>
      <c r="I24" s="64"/>
    </row>
    <row r="25" spans="1:9">
      <c r="A25" s="88"/>
      <c r="B25" s="58" t="s">
        <v>39</v>
      </c>
      <c r="C25" s="47" t="s">
        <v>28</v>
      </c>
      <c r="D25" s="55">
        <v>37</v>
      </c>
      <c r="G25" s="64"/>
      <c r="H25" s="64"/>
      <c r="I25" s="64"/>
    </row>
    <row r="26" spans="1:9">
      <c r="A26" s="88"/>
      <c r="B26" s="42" t="s">
        <v>40</v>
      </c>
      <c r="C26" s="47" t="s">
        <v>28</v>
      </c>
      <c r="D26" s="55">
        <v>0.5</v>
      </c>
      <c r="G26" s="64"/>
      <c r="H26" s="64"/>
      <c r="I26" s="64"/>
    </row>
    <row r="27" spans="1:9">
      <c r="A27" s="88"/>
      <c r="B27" s="41" t="s">
        <v>41</v>
      </c>
      <c r="C27" s="45" t="s">
        <v>42</v>
      </c>
      <c r="D27" s="57">
        <f>-174 + 10*LOG10(D5*1000000)+D24-D25-0</f>
        <v>-130.01029995663981</v>
      </c>
      <c r="G27" s="64"/>
      <c r="H27" s="64"/>
      <c r="I27" s="64"/>
    </row>
    <row r="28" spans="1:9">
      <c r="A28" s="88"/>
      <c r="B28" s="41" t="s">
        <v>43</v>
      </c>
      <c r="C28" s="6" t="s">
        <v>28</v>
      </c>
      <c r="D28" s="13">
        <f>D15+30-D16-D18-D19-D20-D27</f>
        <v>3.2277768900972887</v>
      </c>
      <c r="G28" s="64"/>
      <c r="H28" s="64"/>
      <c r="I28" s="64"/>
    </row>
    <row r="29" spans="1:9">
      <c r="A29" s="88"/>
      <c r="B29" s="41" t="s">
        <v>44</v>
      </c>
      <c r="C29" s="6" t="s">
        <v>28</v>
      </c>
      <c r="D29" s="4">
        <v>28</v>
      </c>
      <c r="G29" s="64"/>
      <c r="H29" s="64"/>
      <c r="I29" s="64"/>
    </row>
    <row r="30" spans="1:9">
      <c r="A30" s="88"/>
      <c r="B30" s="59" t="s">
        <v>45</v>
      </c>
      <c r="C30" s="60" t="s">
        <v>28</v>
      </c>
      <c r="D30" s="61">
        <f>-10*LOG10(POWER(10,-D28/10)+POWER(10,-D29/10))</f>
        <v>3.2133278383173773</v>
      </c>
      <c r="G30" s="64"/>
      <c r="H30" s="64"/>
      <c r="I30" s="64"/>
    </row>
    <row r="31" spans="1:9">
      <c r="A31" s="88"/>
      <c r="B31" s="41" t="s">
        <v>46</v>
      </c>
      <c r="C31" s="6" t="s">
        <v>28</v>
      </c>
      <c r="D31" s="13">
        <f>D15+30-D17-D18-D19-D20-D27</f>
        <v>2.3806277083764087</v>
      </c>
      <c r="G31" s="65"/>
      <c r="H31" s="64"/>
      <c r="I31" s="64"/>
    </row>
    <row r="32" spans="1:9">
      <c r="A32" s="88"/>
      <c r="B32" s="41" t="s">
        <v>47</v>
      </c>
      <c r="C32" s="6" t="s">
        <v>28</v>
      </c>
      <c r="D32" s="4">
        <v>28</v>
      </c>
      <c r="G32" s="64"/>
      <c r="H32" s="64"/>
      <c r="I32" s="64"/>
    </row>
    <row r="33" spans="1:9">
      <c r="A33" s="88"/>
      <c r="B33" s="41" t="s">
        <v>48</v>
      </c>
      <c r="C33" s="6" t="s">
        <v>28</v>
      </c>
      <c r="D33" s="13">
        <f>-10*LOG10(POWER(10,-D31/10)+POWER(10,-D32/10))</f>
        <v>2.3687357782170735</v>
      </c>
      <c r="G33" s="64"/>
      <c r="H33" s="64"/>
      <c r="I33" s="64"/>
    </row>
    <row r="34" spans="1:9">
      <c r="A34" s="88"/>
      <c r="B34" s="41" t="s">
        <v>49</v>
      </c>
      <c r="C34" s="9" t="s">
        <v>50</v>
      </c>
      <c r="D34" s="13" cm="1">
        <f t="array" ref="D34">LOOKUP(2,1/(MCS!D$4:D$33&lt;=D30)/(MCS!E$4:E$33&gt;=D30),MCS!G$4:G$33)</f>
        <v>1.17578125</v>
      </c>
      <c r="G34" s="64"/>
      <c r="H34" s="64"/>
      <c r="I34" s="64"/>
    </row>
    <row r="35" spans="1:9">
      <c r="A35" s="88"/>
      <c r="B35" s="41" t="s">
        <v>51</v>
      </c>
      <c r="C35" s="9" t="s">
        <v>50</v>
      </c>
      <c r="D35" s="13" cm="1">
        <f t="array" ref="D35">LOOKUP(2,1/(MCS!D$4:D$33&lt;=D33)/(MCS!E$4:E$33&gt;=D33),MCS!G$4:G$33)</f>
        <v>1.02734375</v>
      </c>
      <c r="G35" s="64"/>
      <c r="H35" s="64"/>
      <c r="I35" s="64"/>
    </row>
    <row r="36" spans="1:9">
      <c r="A36" s="88"/>
      <c r="B36" s="17" t="s">
        <v>52</v>
      </c>
      <c r="C36" s="1" t="s">
        <v>53</v>
      </c>
      <c r="D36" s="10">
        <f>D34*D5*(1-D6)*MCS!I42</f>
        <v>42.761565000000012</v>
      </c>
      <c r="E36" t="s">
        <v>54</v>
      </c>
      <c r="G36" s="64"/>
      <c r="H36" s="64"/>
      <c r="I36" s="64"/>
    </row>
    <row r="37" spans="1:9">
      <c r="A37" s="88"/>
      <c r="B37" s="38" t="s">
        <v>55</v>
      </c>
      <c r="C37" s="39" t="s">
        <v>53</v>
      </c>
      <c r="D37" s="40">
        <f>D35*$D$5*(1-$D$6)*MCS!I42</f>
        <v>37.363095000000001</v>
      </c>
      <c r="E37" t="s">
        <v>54</v>
      </c>
      <c r="G37" s="64"/>
      <c r="H37" s="64"/>
      <c r="I37" s="64"/>
    </row>
    <row r="38" spans="1:9">
      <c r="B38" s="2"/>
      <c r="C38" s="2"/>
      <c r="D38" s="11"/>
      <c r="G38" s="64"/>
      <c r="H38" s="64"/>
      <c r="I38" s="64"/>
    </row>
    <row r="39" spans="1:9" ht="22.15">
      <c r="A39" s="88" t="s">
        <v>56</v>
      </c>
      <c r="B39" s="49" t="s">
        <v>1</v>
      </c>
      <c r="C39" s="50" t="s">
        <v>2</v>
      </c>
      <c r="D39" s="50" t="s">
        <v>3</v>
      </c>
      <c r="E39" s="64"/>
      <c r="F39" s="64" t="s">
        <v>4</v>
      </c>
      <c r="G39" s="64" t="s">
        <v>4</v>
      </c>
      <c r="H39" s="64"/>
      <c r="I39" s="64"/>
    </row>
    <row r="40" spans="1:9">
      <c r="A40" s="88"/>
      <c r="B40" s="43" t="s">
        <v>5</v>
      </c>
      <c r="C40" s="44" t="s">
        <v>6</v>
      </c>
      <c r="D40" s="19">
        <v>30</v>
      </c>
      <c r="E40" s="64" t="s">
        <v>57</v>
      </c>
      <c r="F40" s="64" t="s">
        <v>58</v>
      </c>
      <c r="G40" s="64" t="s">
        <v>59</v>
      </c>
      <c r="H40" s="64"/>
      <c r="I40" s="64"/>
    </row>
    <row r="41" spans="1:9">
      <c r="A41" s="88"/>
      <c r="B41" s="41" t="s">
        <v>60</v>
      </c>
      <c r="C41" s="45" t="s">
        <v>10</v>
      </c>
      <c r="D41" s="18">
        <v>100</v>
      </c>
      <c r="E41" s="64"/>
      <c r="F41" s="64"/>
    </row>
    <row r="42" spans="1:9">
      <c r="A42" s="88"/>
      <c r="B42" s="41" t="s">
        <v>11</v>
      </c>
      <c r="C42" s="45" t="s">
        <v>12</v>
      </c>
      <c r="D42" s="18">
        <v>0.18</v>
      </c>
    </row>
    <row r="43" spans="1:9">
      <c r="A43" s="88"/>
      <c r="B43" s="41" t="s">
        <v>13</v>
      </c>
      <c r="C43" s="45" t="s">
        <v>14</v>
      </c>
      <c r="D43" s="18">
        <v>888</v>
      </c>
    </row>
    <row r="44" spans="1:9">
      <c r="A44" s="88"/>
      <c r="B44" s="41" t="s">
        <v>15</v>
      </c>
      <c r="C44" s="45" t="s">
        <v>16</v>
      </c>
      <c r="D44" s="18">
        <v>30</v>
      </c>
    </row>
    <row r="45" spans="1:9">
      <c r="A45" s="88"/>
      <c r="B45" s="41" t="s">
        <v>17</v>
      </c>
      <c r="C45" s="45" t="s">
        <v>14</v>
      </c>
      <c r="D45" s="7">
        <f>SQRT((6371+D43)^2 - (6371*COS(RADIANS(D44)))^2) - 6371*SIN(RADIANS(D44))</f>
        <v>1531.5806914870559</v>
      </c>
    </row>
    <row r="46" spans="1:9">
      <c r="A46" s="88"/>
      <c r="B46" s="41" t="s">
        <v>18</v>
      </c>
      <c r="C46" s="45" t="s">
        <v>19</v>
      </c>
      <c r="D46" s="20">
        <v>1</v>
      </c>
    </row>
    <row r="47" spans="1:9">
      <c r="A47" s="88"/>
      <c r="B47" s="41" t="s">
        <v>20</v>
      </c>
      <c r="C47" s="45" t="s">
        <v>21</v>
      </c>
      <c r="D47" s="16">
        <v>49</v>
      </c>
    </row>
    <row r="48" spans="1:9">
      <c r="A48" s="88"/>
      <c r="B48" s="41" t="s">
        <v>22</v>
      </c>
      <c r="C48" s="45" t="s">
        <v>21</v>
      </c>
      <c r="D48" s="8">
        <f>D47-10*LOG(D46)</f>
        <v>49</v>
      </c>
    </row>
    <row r="49" spans="1:12">
      <c r="A49" s="88"/>
      <c r="B49" s="59" t="s">
        <v>61</v>
      </c>
      <c r="C49" s="60" t="s">
        <v>24</v>
      </c>
      <c r="D49" s="62">
        <v>6</v>
      </c>
    </row>
    <row r="50" spans="1:12">
      <c r="A50" s="88"/>
      <c r="B50" s="41" t="s">
        <v>25</v>
      </c>
      <c r="C50" s="45" t="s">
        <v>21</v>
      </c>
      <c r="D50" s="52">
        <f>D47-D49</f>
        <v>43</v>
      </c>
      <c r="G50" s="69"/>
    </row>
    <row r="51" spans="1:12">
      <c r="A51" s="88"/>
      <c r="B51" s="76" t="s">
        <v>62</v>
      </c>
      <c r="C51" s="77" t="s">
        <v>21</v>
      </c>
      <c r="D51" s="79">
        <f>D48-D49</f>
        <v>43</v>
      </c>
      <c r="G51" s="66"/>
      <c r="H51" s="70"/>
    </row>
    <row r="52" spans="1:12">
      <c r="A52" s="88"/>
      <c r="B52" s="41" t="s">
        <v>27</v>
      </c>
      <c r="C52" s="45" t="s">
        <v>28</v>
      </c>
      <c r="D52" s="51">
        <f>92.45+20*LOG10(D40)+20*LOG10(D43)</f>
        <v>180.96068440996527</v>
      </c>
      <c r="G52" s="66"/>
      <c r="H52" s="70"/>
    </row>
    <row r="53" spans="1:12">
      <c r="A53" s="88"/>
      <c r="B53" s="41" t="s">
        <v>29</v>
      </c>
      <c r="C53" s="45" t="s">
        <v>28</v>
      </c>
      <c r="D53" s="51">
        <f>92.45+20*LOG10(D40)+20*LOG10(D45)</f>
        <v>185.69522274629378</v>
      </c>
      <c r="G53" s="66"/>
      <c r="H53" s="70"/>
    </row>
    <row r="54" spans="1:12">
      <c r="A54" s="88"/>
      <c r="B54" s="63" t="s">
        <v>30</v>
      </c>
      <c r="C54" s="45" t="s">
        <v>28</v>
      </c>
      <c r="D54" s="53">
        <v>1</v>
      </c>
      <c r="G54" s="66"/>
      <c r="H54" s="70"/>
    </row>
    <row r="55" spans="1:12">
      <c r="A55" s="88"/>
      <c r="B55" s="63" t="s">
        <v>31</v>
      </c>
      <c r="C55" s="45" t="s">
        <v>28</v>
      </c>
      <c r="D55" s="53">
        <v>0</v>
      </c>
      <c r="G55" s="68"/>
      <c r="H55" s="69"/>
    </row>
    <row r="56" spans="1:12">
      <c r="A56" s="88"/>
      <c r="B56" s="63" t="s">
        <v>32</v>
      </c>
      <c r="C56" s="45" t="s">
        <v>28</v>
      </c>
      <c r="D56" s="53">
        <v>0</v>
      </c>
      <c r="G56" s="68"/>
      <c r="H56" s="69"/>
    </row>
    <row r="57" spans="1:12">
      <c r="A57" s="88"/>
      <c r="B57" s="41" t="s">
        <v>33</v>
      </c>
      <c r="C57" s="45" t="s">
        <v>34</v>
      </c>
      <c r="D57" s="54">
        <f>D61-10*LOG(D58)-D62</f>
        <v>4.9979806819827459</v>
      </c>
      <c r="G57" s="71"/>
      <c r="H57" s="70"/>
    </row>
    <row r="58" spans="1:12">
      <c r="A58" s="88"/>
      <c r="B58" s="41" t="s">
        <v>35</v>
      </c>
      <c r="C58" s="45" t="s">
        <v>36</v>
      </c>
      <c r="D58" s="54">
        <f>(10^(D60/10)-1)*290+D59</f>
        <v>199.61902581372294</v>
      </c>
      <c r="G58" s="66"/>
      <c r="H58" s="70"/>
    </row>
    <row r="59" spans="1:12">
      <c r="A59" s="88"/>
      <c r="B59" s="41" t="s">
        <v>37</v>
      </c>
      <c r="C59" s="45" t="s">
        <v>36</v>
      </c>
      <c r="D59" s="55">
        <v>30</v>
      </c>
      <c r="G59" s="71"/>
      <c r="H59" s="70"/>
    </row>
    <row r="60" spans="1:12">
      <c r="A60" s="88"/>
      <c r="B60" s="41" t="s">
        <v>38</v>
      </c>
      <c r="C60" s="45" t="s">
        <v>28</v>
      </c>
      <c r="D60" s="56">
        <v>2</v>
      </c>
      <c r="G60" s="66"/>
      <c r="H60" s="70"/>
      <c r="I60" s="64"/>
      <c r="J60" s="64"/>
      <c r="K60" s="64"/>
      <c r="L60" s="64"/>
    </row>
    <row r="61" spans="1:12">
      <c r="A61" s="88"/>
      <c r="B61" s="58" t="s">
        <v>39</v>
      </c>
      <c r="C61" s="48" t="s">
        <v>28</v>
      </c>
      <c r="D61" s="55">
        <v>28.5</v>
      </c>
      <c r="G61" s="66"/>
      <c r="H61" s="70"/>
      <c r="I61" s="64"/>
      <c r="J61" s="64"/>
      <c r="K61" s="64"/>
      <c r="L61" s="64"/>
    </row>
    <row r="62" spans="1:12">
      <c r="A62" s="88"/>
      <c r="B62" s="42" t="s">
        <v>40</v>
      </c>
      <c r="C62" s="48" t="s">
        <v>28</v>
      </c>
      <c r="D62" s="55">
        <v>0.5</v>
      </c>
      <c r="G62" s="67"/>
      <c r="H62" s="69"/>
    </row>
    <row r="63" spans="1:12">
      <c r="A63" s="88"/>
      <c r="B63" s="5" t="s">
        <v>63</v>
      </c>
      <c r="C63" s="45" t="s">
        <v>42</v>
      </c>
      <c r="D63" s="57">
        <f>-174 + 10*LOG10(D41*1000000)+D60-D61-0</f>
        <v>-120.5</v>
      </c>
    </row>
    <row r="64" spans="1:12">
      <c r="A64" s="88"/>
      <c r="B64" s="41" t="s">
        <v>43</v>
      </c>
      <c r="C64" s="45" t="s">
        <v>28</v>
      </c>
      <c r="D64" s="57">
        <f>D51+30-D52-D54-D55-D56-D63</f>
        <v>11.539315590034732</v>
      </c>
    </row>
    <row r="65" spans="1:7">
      <c r="A65" s="88"/>
      <c r="B65" s="41" t="s">
        <v>44</v>
      </c>
      <c r="C65" s="45" t="s">
        <v>28</v>
      </c>
      <c r="D65" s="44">
        <v>28</v>
      </c>
    </row>
    <row r="66" spans="1:7">
      <c r="A66" s="88"/>
      <c r="B66" s="59" t="s">
        <v>45</v>
      </c>
      <c r="C66" s="60" t="s">
        <v>28</v>
      </c>
      <c r="D66" s="61">
        <f>-10*LOG10(POWER(10,-D64/10)+POWER(10,-D65/10))</f>
        <v>11.442296789791735</v>
      </c>
    </row>
    <row r="67" spans="1:7">
      <c r="A67" s="88"/>
      <c r="B67" s="41" t="s">
        <v>46</v>
      </c>
      <c r="C67" s="45" t="s">
        <v>28</v>
      </c>
      <c r="D67" s="57">
        <f>D51+30-D53-D54-D55-D56-D63</f>
        <v>6.8047772537062201</v>
      </c>
    </row>
    <row r="68" spans="1:7">
      <c r="A68" s="88"/>
      <c r="B68" s="41" t="s">
        <v>47</v>
      </c>
      <c r="C68" s="45" t="s">
        <v>28</v>
      </c>
      <c r="D68" s="44">
        <v>28</v>
      </c>
      <c r="G68" s="66"/>
    </row>
    <row r="69" spans="1:7">
      <c r="A69" s="88"/>
      <c r="B69" s="41" t="s">
        <v>48</v>
      </c>
      <c r="C69" s="45" t="s">
        <v>28</v>
      </c>
      <c r="D69" s="57">
        <f>-10*LOG10(POWER(10,-D67/10)+POWER(10,-D68/10))</f>
        <v>6.7719209890775947</v>
      </c>
      <c r="G69" s="66"/>
    </row>
    <row r="70" spans="1:7">
      <c r="A70" s="88"/>
      <c r="B70" s="41" t="s">
        <v>49</v>
      </c>
      <c r="C70" s="48" t="s">
        <v>50</v>
      </c>
      <c r="D70" s="57" cm="1">
        <f t="array" ref="D70">LOOKUP(2,1/(MCS!D$4:D$33&lt;=D66)/(MCS!E$4:E$33&gt;=D66),MCS!G$4:G$33)</f>
        <v>2.56640625</v>
      </c>
    </row>
    <row r="71" spans="1:7">
      <c r="A71" s="88"/>
      <c r="B71" s="41" t="s">
        <v>51</v>
      </c>
      <c r="C71" s="48" t="s">
        <v>50</v>
      </c>
      <c r="D71" s="13" cm="1">
        <f t="array" ref="D71">LOOKUP(2,1/(MCS!D$4:D$33&lt;=D69)/(MCS!E$4:E$33&gt;=D69),MCS!G$4:G$33)</f>
        <v>1.6953125</v>
      </c>
    </row>
    <row r="72" spans="1:7">
      <c r="A72" s="88"/>
      <c r="B72" s="17" t="s">
        <v>64</v>
      </c>
      <c r="C72" s="1" t="s">
        <v>53</v>
      </c>
      <c r="D72" s="10">
        <f>D70*D41*(1-D42)*MCS!I43</f>
        <v>186.67341000000005</v>
      </c>
      <c r="E72" t="s">
        <v>54</v>
      </c>
    </row>
    <row r="73" spans="1:7">
      <c r="A73" s="88"/>
      <c r="B73" s="38" t="s">
        <v>65</v>
      </c>
      <c r="C73" s="39" t="s">
        <v>53</v>
      </c>
      <c r="D73" s="40">
        <f>D71*D41*(1-D42)*MCS!I43</f>
        <v>123.31242</v>
      </c>
      <c r="E73" t="s">
        <v>54</v>
      </c>
    </row>
  </sheetData>
  <mergeCells count="2">
    <mergeCell ref="A3:A37"/>
    <mergeCell ref="A39:A73"/>
  </mergeCells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C71A-E2D5-AA4C-8F58-4704227FAB2C}">
  <dimension ref="B1:W43"/>
  <sheetViews>
    <sheetView topLeftCell="M1" zoomScale="70" zoomScaleNormal="70" workbookViewId="0">
      <selection activeCell="R25" sqref="R25"/>
    </sheetView>
  </sheetViews>
  <sheetFormatPr defaultColWidth="8.77734375" defaultRowHeight="16.899999999999999"/>
  <cols>
    <col min="1" max="1" width="8.77734375" style="14"/>
    <col min="2" max="2" width="7.44140625" style="14" bestFit="1" customWidth="1"/>
    <col min="3" max="3" width="28.33203125" style="14" bestFit="1" customWidth="1"/>
    <col min="4" max="4" width="10.44140625" style="14" bestFit="1" customWidth="1"/>
    <col min="5" max="5" width="10.44140625" style="14" customWidth="1"/>
    <col min="6" max="6" width="14.77734375" style="14" bestFit="1" customWidth="1"/>
    <col min="7" max="7" width="12.77734375" style="14" customWidth="1"/>
    <col min="8" max="8" width="15.44140625" style="14" bestFit="1" customWidth="1"/>
    <col min="9" max="9" width="10.109375" style="14" bestFit="1" customWidth="1"/>
    <col min="10" max="11" width="8.77734375" style="14"/>
    <col min="12" max="12" width="10.44140625" style="14" bestFit="1" customWidth="1"/>
    <col min="13" max="13" width="7.109375" style="14" bestFit="1" customWidth="1"/>
    <col min="14" max="17" width="8.77734375" style="14"/>
    <col min="18" max="18" width="10" style="14" customWidth="1"/>
    <col min="19" max="19" width="11.44140625" style="14" customWidth="1"/>
    <col min="20" max="20" width="10.77734375" style="14" customWidth="1"/>
    <col min="21" max="21" width="12.109375" style="14" bestFit="1" customWidth="1"/>
    <col min="22" max="22" width="14.609375" style="14" customWidth="1"/>
    <col min="23" max="16384" width="8.77734375" style="14"/>
  </cols>
  <sheetData>
    <row r="1" spans="2:23" s="36" customFormat="1" ht="13.5">
      <c r="B1" s="35" t="s">
        <v>66</v>
      </c>
      <c r="K1" s="35" t="s">
        <v>67</v>
      </c>
      <c r="R1" s="35" t="s">
        <v>99</v>
      </c>
    </row>
    <row r="2" spans="2:23">
      <c r="B2" s="14" t="s">
        <v>68</v>
      </c>
      <c r="K2" s="14" t="s">
        <v>69</v>
      </c>
      <c r="R2" s="14" t="s">
        <v>70</v>
      </c>
      <c r="U2" s="14" t="s">
        <v>71</v>
      </c>
    </row>
    <row r="3" spans="2:23" ht="50.65">
      <c r="B3" s="24" t="s">
        <v>72</v>
      </c>
      <c r="C3" s="24" t="s">
        <v>73</v>
      </c>
      <c r="D3" s="24" t="s">
        <v>74</v>
      </c>
      <c r="E3" s="24" t="s">
        <v>75</v>
      </c>
      <c r="F3" s="24" t="s">
        <v>76</v>
      </c>
      <c r="G3" s="24" t="s">
        <v>77</v>
      </c>
      <c r="H3" s="24" t="s">
        <v>78</v>
      </c>
      <c r="K3" s="24" t="s">
        <v>72</v>
      </c>
      <c r="L3" s="24" t="s">
        <v>79</v>
      </c>
      <c r="M3" s="24" t="s">
        <v>78</v>
      </c>
      <c r="R3" s="25" t="s">
        <v>80</v>
      </c>
      <c r="S3" s="26" t="s">
        <v>81</v>
      </c>
      <c r="T3" s="26" t="s">
        <v>82</v>
      </c>
      <c r="U3" s="26" t="s">
        <v>83</v>
      </c>
      <c r="V3" s="80" t="s">
        <v>74</v>
      </c>
      <c r="W3" s="80" t="s">
        <v>75</v>
      </c>
    </row>
    <row r="4" spans="2:23">
      <c r="B4" s="21"/>
      <c r="C4" s="21"/>
      <c r="D4" s="22">
        <v>-1000</v>
      </c>
      <c r="E4" s="23">
        <v>-6.7</v>
      </c>
      <c r="F4" s="21"/>
      <c r="G4" s="22">
        <v>0</v>
      </c>
      <c r="H4" s="21"/>
      <c r="K4" s="21"/>
      <c r="L4" s="21"/>
      <c r="M4" s="21"/>
      <c r="N4" s="21"/>
      <c r="R4" s="21"/>
      <c r="S4" s="21"/>
      <c r="T4" s="21"/>
      <c r="U4" s="21"/>
      <c r="V4" s="83" t="s">
        <v>101</v>
      </c>
    </row>
    <row r="5" spans="2:23">
      <c r="B5" s="22">
        <v>0</v>
      </c>
      <c r="C5" s="22">
        <v>2</v>
      </c>
      <c r="D5" s="22">
        <v>-6.7</v>
      </c>
      <c r="E5" s="22">
        <v>-5.7648999999999999</v>
      </c>
      <c r="F5" s="22">
        <v>-15</v>
      </c>
      <c r="G5" s="22">
        <v>0.234375</v>
      </c>
      <c r="H5" s="22">
        <v>120</v>
      </c>
      <c r="K5" s="27">
        <v>0</v>
      </c>
      <c r="L5" s="28">
        <v>2</v>
      </c>
      <c r="M5" s="28">
        <v>120</v>
      </c>
      <c r="N5" s="28">
        <v>0.2344</v>
      </c>
      <c r="R5" s="31">
        <v>0</v>
      </c>
      <c r="S5" s="32">
        <v>2</v>
      </c>
      <c r="T5" s="32">
        <v>30</v>
      </c>
      <c r="U5" s="32">
        <v>5.8599999999999999E-2</v>
      </c>
      <c r="V5" s="81">
        <f>IF(SUMIFS($D$5:$D$33,$C$5:$C$33,S5,$H$5:$H$33,T5)=0,10*LOG10(2^U5-1)+$S$39,SUMIFS($D$5:$D$33,$C$5:$C$33,S5,$H$5:$H$33,T5))</f>
        <v>-12.984268893266037</v>
      </c>
      <c r="W5" s="81">
        <f>V6</f>
        <v>-11.707152545006915</v>
      </c>
    </row>
    <row r="6" spans="2:23">
      <c r="B6" s="22">
        <v>1</v>
      </c>
      <c r="C6" s="22">
        <v>2</v>
      </c>
      <c r="D6" s="22">
        <v>-5.7648999999999999</v>
      </c>
      <c r="E6" s="22">
        <v>-4.7</v>
      </c>
      <c r="F6" s="22">
        <v>-15</v>
      </c>
      <c r="G6" s="22">
        <v>0.306640625</v>
      </c>
      <c r="H6" s="22">
        <v>157</v>
      </c>
      <c r="K6" s="29">
        <v>1</v>
      </c>
      <c r="L6" s="30">
        <v>2</v>
      </c>
      <c r="M6" s="30">
        <v>193</v>
      </c>
      <c r="N6" s="30">
        <v>0.377</v>
      </c>
      <c r="R6" s="31">
        <v>1</v>
      </c>
      <c r="S6" s="32">
        <v>2</v>
      </c>
      <c r="T6" s="32">
        <v>40</v>
      </c>
      <c r="U6" s="32">
        <v>7.8100000000000003E-2</v>
      </c>
      <c r="V6" s="81">
        <f t="shared" ref="V6:V33" si="0">IF(SUMIFS($D$5:$D$33,$C$5:$C$33,S6,$H$5:$H$33,T6)=0,10*LOG10(2^U6-1)+$S$39,SUMIFS($D$5:$D$33,$C$5:$C$33,S6,$H$5:$H$33,T6))</f>
        <v>-11.707152545006915</v>
      </c>
      <c r="W6" s="81">
        <f t="shared" ref="W6:W32" si="1">V7</f>
        <v>-10.704916755356322</v>
      </c>
    </row>
    <row r="7" spans="2:23">
      <c r="B7" s="22">
        <v>2</v>
      </c>
      <c r="C7" s="22">
        <v>2</v>
      </c>
      <c r="D7" s="22">
        <v>-4.7</v>
      </c>
      <c r="E7" s="22">
        <v>-3.5350999999999999</v>
      </c>
      <c r="F7" s="22">
        <v>-15</v>
      </c>
      <c r="G7" s="22">
        <v>0.376953125</v>
      </c>
      <c r="H7" s="22">
        <v>193</v>
      </c>
      <c r="K7" s="29">
        <v>2</v>
      </c>
      <c r="L7" s="30">
        <v>2</v>
      </c>
      <c r="M7" s="30">
        <v>308</v>
      </c>
      <c r="N7" s="30">
        <v>0.60160000000000002</v>
      </c>
      <c r="R7" s="31">
        <v>2</v>
      </c>
      <c r="S7" s="32">
        <v>2</v>
      </c>
      <c r="T7" s="32">
        <v>50</v>
      </c>
      <c r="U7" s="32">
        <v>9.7699999999999995E-2</v>
      </c>
      <c r="V7" s="81">
        <f t="shared" si="0"/>
        <v>-10.704916755356322</v>
      </c>
      <c r="W7" s="81">
        <f t="shared" si="1"/>
        <v>-9.5931431460265344</v>
      </c>
    </row>
    <row r="8" spans="2:23">
      <c r="B8" s="22">
        <v>3</v>
      </c>
      <c r="C8" s="22">
        <v>2</v>
      </c>
      <c r="D8" s="22">
        <v>-3.5350999999999999</v>
      </c>
      <c r="E8" s="22">
        <v>-2.2999999999999998</v>
      </c>
      <c r="F8" s="22">
        <v>-15</v>
      </c>
      <c r="G8" s="22">
        <v>0.490234375</v>
      </c>
      <c r="H8" s="22">
        <v>251</v>
      </c>
      <c r="K8" s="29">
        <v>3</v>
      </c>
      <c r="L8" s="30">
        <v>2</v>
      </c>
      <c r="M8" s="30">
        <v>449</v>
      </c>
      <c r="N8" s="30">
        <v>0.877</v>
      </c>
      <c r="R8" s="31">
        <v>3</v>
      </c>
      <c r="S8" s="32">
        <v>2</v>
      </c>
      <c r="T8" s="32">
        <v>64</v>
      </c>
      <c r="U8" s="32">
        <v>0.125</v>
      </c>
      <c r="V8" s="81">
        <f t="shared" si="0"/>
        <v>-9.5931431460265344</v>
      </c>
      <c r="W8" s="81">
        <f t="shared" si="1"/>
        <v>-8.6934955829992635</v>
      </c>
    </row>
    <row r="9" spans="2:23">
      <c r="B9" s="22">
        <v>4</v>
      </c>
      <c r="C9" s="22">
        <v>2</v>
      </c>
      <c r="D9" s="22">
        <v>-2.2999999999999998</v>
      </c>
      <c r="E9" s="22">
        <v>-1.0322</v>
      </c>
      <c r="F9" s="22">
        <v>-15</v>
      </c>
      <c r="G9" s="22">
        <v>0.6015625</v>
      </c>
      <c r="H9" s="22">
        <v>308</v>
      </c>
      <c r="K9" s="29">
        <v>4</v>
      </c>
      <c r="L9" s="30">
        <v>2</v>
      </c>
      <c r="M9" s="30">
        <v>602</v>
      </c>
      <c r="N9" s="30">
        <v>1.1758</v>
      </c>
      <c r="R9" s="31">
        <v>4</v>
      </c>
      <c r="S9" s="32">
        <v>2</v>
      </c>
      <c r="T9" s="32">
        <v>78</v>
      </c>
      <c r="U9" s="32">
        <v>0.15229999999999999</v>
      </c>
      <c r="V9" s="81">
        <f t="shared" si="0"/>
        <v>-8.6934955829992635</v>
      </c>
      <c r="W9" s="81">
        <f t="shared" si="1"/>
        <v>-7.5928332750006362</v>
      </c>
    </row>
    <row r="10" spans="2:23">
      <c r="B10" s="22">
        <v>5</v>
      </c>
      <c r="C10" s="22">
        <v>2</v>
      </c>
      <c r="D10" s="22">
        <v>-1.0322</v>
      </c>
      <c r="E10" s="22">
        <v>0.2</v>
      </c>
      <c r="F10" s="22">
        <v>-15</v>
      </c>
      <c r="G10" s="22">
        <v>0.740234375</v>
      </c>
      <c r="H10" s="22">
        <v>379</v>
      </c>
      <c r="K10" s="29">
        <v>5</v>
      </c>
      <c r="L10" s="30">
        <v>4</v>
      </c>
      <c r="M10" s="30">
        <v>378</v>
      </c>
      <c r="N10" s="30">
        <v>1.4765999999999999</v>
      </c>
      <c r="R10" s="31">
        <v>5</v>
      </c>
      <c r="S10" s="32">
        <v>2</v>
      </c>
      <c r="T10" s="32">
        <v>99</v>
      </c>
      <c r="U10" s="32">
        <v>0.19339999999999999</v>
      </c>
      <c r="V10" s="81">
        <f t="shared" si="0"/>
        <v>-7.5928332750006362</v>
      </c>
      <c r="W10" s="81">
        <f t="shared" si="1"/>
        <v>-6.7</v>
      </c>
    </row>
    <row r="11" spans="2:23">
      <c r="B11" s="22">
        <v>6</v>
      </c>
      <c r="C11" s="22">
        <v>2</v>
      </c>
      <c r="D11" s="22">
        <v>0.2</v>
      </c>
      <c r="E11" s="22">
        <v>1.3388</v>
      </c>
      <c r="F11" s="22">
        <v>-15</v>
      </c>
      <c r="G11" s="22">
        <v>0.876953125</v>
      </c>
      <c r="H11" s="22">
        <v>449</v>
      </c>
      <c r="K11" s="29">
        <v>6</v>
      </c>
      <c r="L11" s="30">
        <v>4</v>
      </c>
      <c r="M11" s="30">
        <v>434</v>
      </c>
      <c r="N11" s="30">
        <v>1.6953</v>
      </c>
      <c r="R11" s="31">
        <v>6</v>
      </c>
      <c r="S11" s="32">
        <v>2</v>
      </c>
      <c r="T11" s="32">
        <v>120</v>
      </c>
      <c r="U11" s="32">
        <v>0.2344</v>
      </c>
      <c r="V11" s="81">
        <f t="shared" si="0"/>
        <v>-6.7</v>
      </c>
      <c r="W11" s="81">
        <f t="shared" si="1"/>
        <v>-5.7648999999999999</v>
      </c>
    </row>
    <row r="12" spans="2:23">
      <c r="B12" s="22">
        <v>7</v>
      </c>
      <c r="C12" s="22">
        <v>2</v>
      </c>
      <c r="D12" s="22">
        <v>1.3388</v>
      </c>
      <c r="E12" s="22">
        <v>2.4</v>
      </c>
      <c r="F12" s="22">
        <v>-15</v>
      </c>
      <c r="G12" s="22">
        <v>1.02734375</v>
      </c>
      <c r="H12" s="22">
        <v>526</v>
      </c>
      <c r="K12" s="29">
        <v>7</v>
      </c>
      <c r="L12" s="30">
        <v>4</v>
      </c>
      <c r="M12" s="30">
        <v>490</v>
      </c>
      <c r="N12" s="30">
        <v>1.9140999999999999</v>
      </c>
      <c r="R12" s="31">
        <v>7</v>
      </c>
      <c r="S12" s="32">
        <v>2</v>
      </c>
      <c r="T12" s="32">
        <v>157</v>
      </c>
      <c r="U12" s="32">
        <v>0.30659999999999998</v>
      </c>
      <c r="V12" s="81">
        <f t="shared" si="0"/>
        <v>-5.7648999999999999</v>
      </c>
      <c r="W12" s="81">
        <f t="shared" si="1"/>
        <v>-4.7</v>
      </c>
    </row>
    <row r="13" spans="2:23">
      <c r="B13" s="22">
        <v>8</v>
      </c>
      <c r="C13" s="22">
        <v>2</v>
      </c>
      <c r="D13" s="22">
        <v>2.4</v>
      </c>
      <c r="E13" s="22">
        <v>3.4020999999999999</v>
      </c>
      <c r="F13" s="22">
        <v>-15</v>
      </c>
      <c r="G13" s="22">
        <v>1.17578125</v>
      </c>
      <c r="H13" s="22">
        <v>602</v>
      </c>
      <c r="K13" s="29">
        <v>8</v>
      </c>
      <c r="L13" s="30">
        <v>4</v>
      </c>
      <c r="M13" s="30">
        <v>553</v>
      </c>
      <c r="N13" s="30">
        <v>2.1602000000000001</v>
      </c>
      <c r="R13" s="31">
        <v>8</v>
      </c>
      <c r="S13" s="32">
        <v>2</v>
      </c>
      <c r="T13" s="32">
        <v>193</v>
      </c>
      <c r="U13" s="32">
        <v>0.377</v>
      </c>
      <c r="V13" s="81">
        <f t="shared" si="0"/>
        <v>-4.7</v>
      </c>
      <c r="W13" s="81">
        <f t="shared" si="1"/>
        <v>-3.5350999999999999</v>
      </c>
    </row>
    <row r="14" spans="2:23">
      <c r="B14" s="22">
        <v>9</v>
      </c>
      <c r="C14" s="22">
        <v>2</v>
      </c>
      <c r="D14" s="22">
        <v>3.4020999999999999</v>
      </c>
      <c r="E14" s="22">
        <v>4.3</v>
      </c>
      <c r="F14" s="22">
        <v>-15</v>
      </c>
      <c r="G14" s="22">
        <v>1.326171875</v>
      </c>
      <c r="H14" s="22">
        <v>679</v>
      </c>
      <c r="K14" s="29">
        <v>9</v>
      </c>
      <c r="L14" s="30">
        <v>4</v>
      </c>
      <c r="M14" s="30">
        <v>616</v>
      </c>
      <c r="N14" s="30">
        <v>2.4062999999999999</v>
      </c>
      <c r="R14" s="31">
        <v>9</v>
      </c>
      <c r="S14" s="32">
        <v>2</v>
      </c>
      <c r="T14" s="32">
        <v>251</v>
      </c>
      <c r="U14" s="32">
        <v>0.49020000000000002</v>
      </c>
      <c r="V14" s="81">
        <f t="shared" si="0"/>
        <v>-3.5350999999999999</v>
      </c>
      <c r="W14" s="81">
        <f t="shared" si="1"/>
        <v>-2.2999999999999998</v>
      </c>
    </row>
    <row r="15" spans="2:23">
      <c r="B15" s="22">
        <v>10</v>
      </c>
      <c r="C15" s="22">
        <v>4</v>
      </c>
      <c r="D15" s="22">
        <v>4.3</v>
      </c>
      <c r="E15" s="22">
        <v>5.0777999999999999</v>
      </c>
      <c r="F15" s="22">
        <v>-18</v>
      </c>
      <c r="G15" s="22">
        <v>1.328125</v>
      </c>
      <c r="H15" s="22">
        <v>340</v>
      </c>
      <c r="K15" s="29">
        <v>10</v>
      </c>
      <c r="L15" s="30">
        <v>4</v>
      </c>
      <c r="M15" s="30">
        <v>658</v>
      </c>
      <c r="N15" s="30">
        <v>2.5703</v>
      </c>
      <c r="R15" s="31">
        <v>10</v>
      </c>
      <c r="S15" s="32">
        <v>2</v>
      </c>
      <c r="T15" s="32">
        <v>308</v>
      </c>
      <c r="U15" s="32">
        <v>0.60160000000000002</v>
      </c>
      <c r="V15" s="81">
        <f t="shared" si="0"/>
        <v>-2.2999999999999998</v>
      </c>
      <c r="W15" s="81">
        <f t="shared" si="1"/>
        <v>-1.0322</v>
      </c>
    </row>
    <row r="16" spans="2:23">
      <c r="B16" s="22">
        <v>11</v>
      </c>
      <c r="C16" s="22">
        <v>4</v>
      </c>
      <c r="D16" s="22">
        <v>5.0777999999999999</v>
      </c>
      <c r="E16" s="22">
        <v>5.9</v>
      </c>
      <c r="F16" s="22">
        <v>-18</v>
      </c>
      <c r="G16" s="22">
        <v>1.4765625</v>
      </c>
      <c r="H16" s="22">
        <v>378</v>
      </c>
      <c r="K16" s="29">
        <v>11</v>
      </c>
      <c r="L16" s="30">
        <v>6</v>
      </c>
      <c r="M16" s="30">
        <v>466</v>
      </c>
      <c r="N16" s="30">
        <v>2.7305000000000001</v>
      </c>
      <c r="R16" s="31">
        <v>11</v>
      </c>
      <c r="S16" s="32">
        <v>2</v>
      </c>
      <c r="T16" s="32">
        <v>379</v>
      </c>
      <c r="U16" s="32">
        <v>0.74019999999999997</v>
      </c>
      <c r="V16" s="81">
        <f t="shared" si="0"/>
        <v>-1.0322</v>
      </c>
      <c r="W16" s="81">
        <f t="shared" si="1"/>
        <v>0.2</v>
      </c>
    </row>
    <row r="17" spans="2:23">
      <c r="B17" s="22">
        <v>12</v>
      </c>
      <c r="C17" s="22">
        <v>4</v>
      </c>
      <c r="D17" s="22">
        <v>5.9</v>
      </c>
      <c r="E17" s="22">
        <v>6.9242999999999997</v>
      </c>
      <c r="F17" s="22">
        <v>-18</v>
      </c>
      <c r="G17" s="22">
        <v>1.6953125</v>
      </c>
      <c r="H17" s="22">
        <v>434</v>
      </c>
      <c r="K17" s="29">
        <v>12</v>
      </c>
      <c r="L17" s="30">
        <v>6</v>
      </c>
      <c r="M17" s="30">
        <v>517</v>
      </c>
      <c r="N17" s="30">
        <v>3.0293000000000001</v>
      </c>
      <c r="R17" s="31">
        <v>12</v>
      </c>
      <c r="S17" s="32">
        <v>2</v>
      </c>
      <c r="T17" s="32">
        <v>449</v>
      </c>
      <c r="U17" s="32">
        <v>0.877</v>
      </c>
      <c r="V17" s="81">
        <f t="shared" si="0"/>
        <v>0.2</v>
      </c>
      <c r="W17" s="81">
        <f t="shared" si="1"/>
        <v>1.3388</v>
      </c>
    </row>
    <row r="18" spans="2:23">
      <c r="B18" s="22">
        <v>13</v>
      </c>
      <c r="C18" s="22">
        <v>4</v>
      </c>
      <c r="D18" s="22">
        <v>6.9242999999999997</v>
      </c>
      <c r="E18" s="22">
        <v>8.1</v>
      </c>
      <c r="F18" s="22">
        <v>-18</v>
      </c>
      <c r="G18" s="22">
        <v>1.9140625</v>
      </c>
      <c r="H18" s="22">
        <v>490</v>
      </c>
      <c r="K18" s="29">
        <v>13</v>
      </c>
      <c r="L18" s="30">
        <v>6</v>
      </c>
      <c r="M18" s="30">
        <v>567</v>
      </c>
      <c r="N18" s="30">
        <v>3.3222999999999998</v>
      </c>
      <c r="R18" s="31">
        <v>13</v>
      </c>
      <c r="S18" s="32">
        <v>2</v>
      </c>
      <c r="T18" s="32">
        <v>526</v>
      </c>
      <c r="U18" s="32">
        <v>1.0273000000000001</v>
      </c>
      <c r="V18" s="81">
        <f t="shared" si="0"/>
        <v>1.3388</v>
      </c>
      <c r="W18" s="81">
        <f t="shared" si="1"/>
        <v>2.4</v>
      </c>
    </row>
    <row r="19" spans="2:23">
      <c r="B19" s="22">
        <v>14</v>
      </c>
      <c r="C19" s="22">
        <v>4</v>
      </c>
      <c r="D19" s="22">
        <v>8.1</v>
      </c>
      <c r="E19" s="22">
        <v>9.3002000000000002</v>
      </c>
      <c r="F19" s="22">
        <v>-18</v>
      </c>
      <c r="G19" s="22">
        <v>2.16015625</v>
      </c>
      <c r="H19" s="22">
        <v>553</v>
      </c>
      <c r="K19" s="29">
        <v>14</v>
      </c>
      <c r="L19" s="30">
        <v>6</v>
      </c>
      <c r="M19" s="30">
        <v>616</v>
      </c>
      <c r="N19" s="30">
        <v>3.6093999999999999</v>
      </c>
      <c r="R19" s="31">
        <v>14</v>
      </c>
      <c r="S19" s="32">
        <v>2</v>
      </c>
      <c r="T19" s="32">
        <v>602</v>
      </c>
      <c r="U19" s="32">
        <v>1.1758</v>
      </c>
      <c r="V19" s="81">
        <f t="shared" si="0"/>
        <v>2.4</v>
      </c>
      <c r="W19" s="81">
        <f t="shared" si="1"/>
        <v>4.3</v>
      </c>
    </row>
    <row r="20" spans="2:23">
      <c r="B20" s="22">
        <v>15</v>
      </c>
      <c r="C20" s="22">
        <v>4</v>
      </c>
      <c r="D20" s="22">
        <v>9.3002000000000002</v>
      </c>
      <c r="E20" s="22">
        <v>10.3</v>
      </c>
      <c r="F20" s="22">
        <v>-18</v>
      </c>
      <c r="G20" s="22">
        <v>2.40625</v>
      </c>
      <c r="H20" s="22">
        <v>616</v>
      </c>
      <c r="K20" s="29">
        <v>15</v>
      </c>
      <c r="L20" s="30">
        <v>6</v>
      </c>
      <c r="M20" s="30">
        <v>666</v>
      </c>
      <c r="N20" s="30">
        <v>3.9022999999999999</v>
      </c>
      <c r="R20" s="31">
        <v>15</v>
      </c>
      <c r="S20" s="32">
        <v>4</v>
      </c>
      <c r="T20" s="32">
        <v>340</v>
      </c>
      <c r="U20" s="32">
        <v>1.3281000000000001</v>
      </c>
      <c r="V20" s="81">
        <f t="shared" si="0"/>
        <v>4.3</v>
      </c>
      <c r="W20" s="81">
        <f t="shared" si="1"/>
        <v>5.0777999999999999</v>
      </c>
    </row>
    <row r="21" spans="2:23">
      <c r="B21" s="22">
        <v>16</v>
      </c>
      <c r="C21" s="22">
        <v>4</v>
      </c>
      <c r="D21" s="22">
        <v>10.3</v>
      </c>
      <c r="E21" s="22">
        <v>10.975</v>
      </c>
      <c r="F21" s="22">
        <v>-18</v>
      </c>
      <c r="G21" s="22">
        <v>2.5703125</v>
      </c>
      <c r="H21" s="22">
        <v>658</v>
      </c>
      <c r="K21" s="29">
        <v>16</v>
      </c>
      <c r="L21" s="30">
        <v>6</v>
      </c>
      <c r="M21" s="30">
        <v>719</v>
      </c>
      <c r="N21" s="30">
        <v>4.2129000000000003</v>
      </c>
      <c r="R21" s="31">
        <v>16</v>
      </c>
      <c r="S21" s="32">
        <v>4</v>
      </c>
      <c r="T21" s="32">
        <v>378</v>
      </c>
      <c r="U21" s="32">
        <v>1.4765999999999999</v>
      </c>
      <c r="V21" s="81">
        <f t="shared" si="0"/>
        <v>5.0777999999999999</v>
      </c>
      <c r="W21" s="81">
        <f t="shared" si="1"/>
        <v>5.9</v>
      </c>
    </row>
    <row r="22" spans="2:23">
      <c r="B22" s="22">
        <v>17</v>
      </c>
      <c r="C22" s="22">
        <v>6</v>
      </c>
      <c r="D22" s="22">
        <v>10.975</v>
      </c>
      <c r="E22" s="22">
        <v>11.7</v>
      </c>
      <c r="F22" s="22">
        <v>-22</v>
      </c>
      <c r="G22" s="22">
        <v>2.56640625</v>
      </c>
      <c r="H22" s="22">
        <v>438</v>
      </c>
      <c r="K22" s="29">
        <v>17</v>
      </c>
      <c r="L22" s="30">
        <v>6</v>
      </c>
      <c r="M22" s="30">
        <v>772</v>
      </c>
      <c r="N22" s="30">
        <v>4.5233999999999996</v>
      </c>
      <c r="R22" s="31">
        <v>17</v>
      </c>
      <c r="S22" s="32">
        <v>4</v>
      </c>
      <c r="T22" s="32">
        <v>434</v>
      </c>
      <c r="U22" s="32">
        <v>1.6953</v>
      </c>
      <c r="V22" s="81">
        <f t="shared" si="0"/>
        <v>5.9</v>
      </c>
      <c r="W22" s="81">
        <f t="shared" si="1"/>
        <v>6.9242999999999997</v>
      </c>
    </row>
    <row r="23" spans="2:23">
      <c r="B23" s="22">
        <v>18</v>
      </c>
      <c r="C23" s="22">
        <v>6</v>
      </c>
      <c r="D23" s="22">
        <v>11.7</v>
      </c>
      <c r="E23" s="22">
        <v>12.8248</v>
      </c>
      <c r="F23" s="22">
        <v>-22</v>
      </c>
      <c r="G23" s="22">
        <v>2.73046875</v>
      </c>
      <c r="H23" s="22">
        <v>466</v>
      </c>
      <c r="K23" s="29">
        <v>18</v>
      </c>
      <c r="L23" s="30">
        <v>6</v>
      </c>
      <c r="M23" s="30">
        <v>822</v>
      </c>
      <c r="N23" s="30">
        <v>4.8163999999999998</v>
      </c>
      <c r="R23" s="31">
        <v>18</v>
      </c>
      <c r="S23" s="32">
        <v>4</v>
      </c>
      <c r="T23" s="32">
        <v>490</v>
      </c>
      <c r="U23" s="32">
        <v>1.9140999999999999</v>
      </c>
      <c r="V23" s="81">
        <f t="shared" si="0"/>
        <v>6.9242999999999997</v>
      </c>
      <c r="W23" s="81">
        <f t="shared" si="1"/>
        <v>8.1</v>
      </c>
    </row>
    <row r="24" spans="2:23">
      <c r="B24" s="22">
        <v>19</v>
      </c>
      <c r="C24" s="22">
        <v>6</v>
      </c>
      <c r="D24" s="22">
        <v>12.8248</v>
      </c>
      <c r="E24" s="22">
        <v>14.1</v>
      </c>
      <c r="F24" s="22">
        <v>-22</v>
      </c>
      <c r="G24" s="22">
        <v>3.029296875</v>
      </c>
      <c r="H24" s="22">
        <v>517</v>
      </c>
      <c r="K24" s="29">
        <v>19</v>
      </c>
      <c r="L24" s="30">
        <v>6</v>
      </c>
      <c r="M24" s="30">
        <v>873</v>
      </c>
      <c r="N24" s="30">
        <v>5.1151999999999997</v>
      </c>
      <c r="R24" s="31">
        <v>19</v>
      </c>
      <c r="S24" s="32">
        <v>4</v>
      </c>
      <c r="T24" s="32">
        <v>553</v>
      </c>
      <c r="U24" s="32">
        <v>2.1602000000000001</v>
      </c>
      <c r="V24" s="81">
        <f t="shared" si="0"/>
        <v>8.1</v>
      </c>
      <c r="W24" s="81">
        <f t="shared" si="1"/>
        <v>9.3002000000000002</v>
      </c>
    </row>
    <row r="25" spans="2:23">
      <c r="B25" s="22">
        <v>20</v>
      </c>
      <c r="C25" s="22">
        <v>6</v>
      </c>
      <c r="D25" s="22">
        <v>14.1</v>
      </c>
      <c r="E25" s="22">
        <v>15.2257</v>
      </c>
      <c r="F25" s="22">
        <v>-22</v>
      </c>
      <c r="G25" s="22">
        <v>3.322265625</v>
      </c>
      <c r="H25" s="22">
        <v>567</v>
      </c>
      <c r="K25" s="29">
        <v>20</v>
      </c>
      <c r="L25" s="30">
        <v>8</v>
      </c>
      <c r="M25" s="30">
        <v>682.5</v>
      </c>
      <c r="N25" s="30">
        <v>5.3319999999999999</v>
      </c>
      <c r="R25" s="31">
        <v>20</v>
      </c>
      <c r="S25" s="32">
        <v>4</v>
      </c>
      <c r="T25" s="32">
        <v>616</v>
      </c>
      <c r="U25" s="32">
        <v>2.4062999999999999</v>
      </c>
      <c r="V25" s="81">
        <f t="shared" si="0"/>
        <v>9.3002000000000002</v>
      </c>
      <c r="W25" s="81">
        <f t="shared" si="1"/>
        <v>10.975</v>
      </c>
    </row>
    <row r="26" spans="2:23">
      <c r="B26" s="22">
        <v>21</v>
      </c>
      <c r="C26" s="22">
        <v>6</v>
      </c>
      <c r="D26" s="22">
        <v>15.2257</v>
      </c>
      <c r="E26" s="22">
        <v>16.3</v>
      </c>
      <c r="F26" s="22">
        <v>-22</v>
      </c>
      <c r="G26" s="22">
        <v>3.609375</v>
      </c>
      <c r="H26" s="22">
        <v>616</v>
      </c>
      <c r="K26" s="29">
        <v>21</v>
      </c>
      <c r="L26" s="30">
        <v>8</v>
      </c>
      <c r="M26" s="30">
        <v>711</v>
      </c>
      <c r="N26" s="30">
        <v>5.5547000000000004</v>
      </c>
      <c r="R26" s="84">
        <v>21</v>
      </c>
      <c r="S26" s="85">
        <v>6</v>
      </c>
      <c r="T26" s="85">
        <v>438</v>
      </c>
      <c r="U26" s="85">
        <v>2.5663999999999998</v>
      </c>
      <c r="V26" s="81">
        <f t="shared" si="0"/>
        <v>10.975</v>
      </c>
      <c r="W26" s="81">
        <f t="shared" si="1"/>
        <v>11.7</v>
      </c>
    </row>
    <row r="27" spans="2:23">
      <c r="B27" s="22">
        <v>22</v>
      </c>
      <c r="C27" s="22">
        <v>6</v>
      </c>
      <c r="D27" s="22">
        <v>16.3</v>
      </c>
      <c r="E27" s="22">
        <v>17.4725</v>
      </c>
      <c r="F27" s="22">
        <v>-22</v>
      </c>
      <c r="G27" s="22">
        <v>3.90234375</v>
      </c>
      <c r="H27" s="22">
        <v>666</v>
      </c>
      <c r="K27" s="29">
        <v>22</v>
      </c>
      <c r="L27" s="30">
        <v>8</v>
      </c>
      <c r="M27" s="30">
        <v>754</v>
      </c>
      <c r="N27" s="30">
        <v>5.8906000000000001</v>
      </c>
      <c r="R27" s="31">
        <v>22</v>
      </c>
      <c r="S27" s="32">
        <v>6</v>
      </c>
      <c r="T27" s="32">
        <v>466</v>
      </c>
      <c r="U27" s="32">
        <v>2.7305000000000001</v>
      </c>
      <c r="V27" s="81">
        <f t="shared" si="0"/>
        <v>11.7</v>
      </c>
      <c r="W27" s="81">
        <f t="shared" si="1"/>
        <v>12.8248</v>
      </c>
    </row>
    <row r="28" spans="2:23">
      <c r="B28" s="22">
        <v>23</v>
      </c>
      <c r="C28" s="22">
        <v>6</v>
      </c>
      <c r="D28" s="22">
        <v>17.4725</v>
      </c>
      <c r="E28" s="22">
        <v>18.7</v>
      </c>
      <c r="F28" s="22">
        <v>-22</v>
      </c>
      <c r="G28" s="22">
        <v>4.212890625</v>
      </c>
      <c r="H28" s="22">
        <v>719</v>
      </c>
      <c r="K28" s="29">
        <v>23</v>
      </c>
      <c r="L28" s="30">
        <v>8</v>
      </c>
      <c r="M28" s="30">
        <v>797</v>
      </c>
      <c r="N28" s="30">
        <v>6.2266000000000004</v>
      </c>
      <c r="R28" s="31">
        <v>23</v>
      </c>
      <c r="S28" s="32">
        <v>6</v>
      </c>
      <c r="T28" s="32">
        <v>517</v>
      </c>
      <c r="U28" s="32">
        <v>3.0293000000000001</v>
      </c>
      <c r="V28" s="81">
        <f t="shared" si="0"/>
        <v>12.8248</v>
      </c>
      <c r="W28" s="81">
        <f t="shared" si="1"/>
        <v>14.1</v>
      </c>
    </row>
    <row r="29" spans="2:23">
      <c r="B29" s="22">
        <v>24</v>
      </c>
      <c r="C29" s="22">
        <v>6</v>
      </c>
      <c r="D29" s="22">
        <v>18.7</v>
      </c>
      <c r="E29" s="22">
        <v>19.896699999999999</v>
      </c>
      <c r="F29" s="22">
        <v>-22</v>
      </c>
      <c r="G29" s="22">
        <v>4.5234375</v>
      </c>
      <c r="H29" s="22">
        <v>772</v>
      </c>
      <c r="K29" s="29">
        <v>24</v>
      </c>
      <c r="L29" s="30">
        <v>8</v>
      </c>
      <c r="M29" s="30">
        <v>841</v>
      </c>
      <c r="N29" s="30">
        <v>6.5702999999999996</v>
      </c>
      <c r="R29" s="31">
        <v>24</v>
      </c>
      <c r="S29" s="32">
        <v>6</v>
      </c>
      <c r="T29" s="32">
        <v>567</v>
      </c>
      <c r="U29" s="32">
        <v>3.3222999999999998</v>
      </c>
      <c r="V29" s="81">
        <f t="shared" si="0"/>
        <v>14.1</v>
      </c>
      <c r="W29" s="81">
        <f t="shared" si="1"/>
        <v>15.2257</v>
      </c>
    </row>
    <row r="30" spans="2:23">
      <c r="B30" s="22">
        <v>25</v>
      </c>
      <c r="C30" s="22">
        <v>6</v>
      </c>
      <c r="D30" s="22">
        <v>19.896699999999999</v>
      </c>
      <c r="E30" s="22">
        <v>21</v>
      </c>
      <c r="F30" s="22">
        <v>-22</v>
      </c>
      <c r="G30" s="22">
        <v>4.81640625</v>
      </c>
      <c r="H30" s="22">
        <v>822</v>
      </c>
      <c r="K30" s="29">
        <v>25</v>
      </c>
      <c r="L30" s="30">
        <v>8</v>
      </c>
      <c r="M30" s="30">
        <v>885</v>
      </c>
      <c r="N30" s="30">
        <v>6.9141000000000004</v>
      </c>
      <c r="R30" s="31">
        <v>25</v>
      </c>
      <c r="S30" s="32">
        <v>6</v>
      </c>
      <c r="T30" s="32">
        <v>616</v>
      </c>
      <c r="U30" s="32">
        <v>3.6093999999999999</v>
      </c>
      <c r="V30" s="81">
        <f t="shared" si="0"/>
        <v>15.2257</v>
      </c>
      <c r="W30" s="81">
        <f t="shared" si="1"/>
        <v>16.3</v>
      </c>
    </row>
    <row r="31" spans="2:23">
      <c r="B31" s="22">
        <v>26</v>
      </c>
      <c r="C31" s="22">
        <v>6</v>
      </c>
      <c r="D31" s="22">
        <v>21</v>
      </c>
      <c r="E31" s="22">
        <v>21.953299999999999</v>
      </c>
      <c r="F31" s="22">
        <v>-22</v>
      </c>
      <c r="G31" s="22">
        <v>5.115234375</v>
      </c>
      <c r="H31" s="22">
        <v>873</v>
      </c>
      <c r="K31" s="29">
        <v>26</v>
      </c>
      <c r="L31" s="30">
        <v>8</v>
      </c>
      <c r="M31" s="30">
        <v>916.5</v>
      </c>
      <c r="N31" s="30">
        <v>7.1601999999999997</v>
      </c>
      <c r="R31" s="31">
        <v>26</v>
      </c>
      <c r="S31" s="32">
        <v>6</v>
      </c>
      <c r="T31" s="32">
        <v>666</v>
      </c>
      <c r="U31" s="32">
        <v>3.9022999999999999</v>
      </c>
      <c r="V31" s="81">
        <f t="shared" si="0"/>
        <v>16.3</v>
      </c>
      <c r="W31" s="81">
        <f t="shared" si="1"/>
        <v>17.4725</v>
      </c>
    </row>
    <row r="32" spans="2:23">
      <c r="B32" s="22">
        <v>27</v>
      </c>
      <c r="C32" s="22">
        <v>6</v>
      </c>
      <c r="D32" s="22">
        <v>21.953299999999999</v>
      </c>
      <c r="E32" s="22">
        <v>22.7</v>
      </c>
      <c r="F32" s="22">
        <v>-22</v>
      </c>
      <c r="G32" s="22">
        <v>5.33203125</v>
      </c>
      <c r="H32" s="22">
        <v>910</v>
      </c>
      <c r="K32" s="29">
        <v>27</v>
      </c>
      <c r="L32" s="30">
        <v>8</v>
      </c>
      <c r="M32" s="30">
        <v>948</v>
      </c>
      <c r="N32" s="30">
        <v>7.4062999999999999</v>
      </c>
      <c r="R32" s="31">
        <v>27</v>
      </c>
      <c r="S32" s="32">
        <v>6</v>
      </c>
      <c r="T32" s="32">
        <v>719</v>
      </c>
      <c r="U32" s="32">
        <v>4.2129000000000003</v>
      </c>
      <c r="V32" s="81">
        <f t="shared" si="0"/>
        <v>17.4725</v>
      </c>
      <c r="W32" s="81">
        <f t="shared" si="1"/>
        <v>18.7</v>
      </c>
    </row>
    <row r="33" spans="2:23">
      <c r="B33" s="22">
        <v>28</v>
      </c>
      <c r="C33" s="22">
        <v>6</v>
      </c>
      <c r="D33" s="22">
        <v>22.7</v>
      </c>
      <c r="E33" s="22">
        <v>1000</v>
      </c>
      <c r="F33" s="22">
        <v>-22</v>
      </c>
      <c r="G33" s="22">
        <v>5.5546875</v>
      </c>
      <c r="H33" s="22">
        <v>948</v>
      </c>
      <c r="R33" s="31">
        <v>28</v>
      </c>
      <c r="S33" s="32">
        <v>6</v>
      </c>
      <c r="T33" s="33">
        <v>772</v>
      </c>
      <c r="U33" s="34">
        <v>4.5233999999999996</v>
      </c>
      <c r="V33" s="81">
        <f t="shared" si="0"/>
        <v>18.7</v>
      </c>
      <c r="W33" s="81">
        <f>1000</f>
        <v>1000</v>
      </c>
    </row>
    <row r="34" spans="2:23">
      <c r="R34" s="31">
        <v>29</v>
      </c>
      <c r="S34" s="32">
        <v>2</v>
      </c>
      <c r="T34" s="86" t="s">
        <v>84</v>
      </c>
      <c r="U34" s="87"/>
    </row>
    <row r="35" spans="2:23">
      <c r="R35" s="31">
        <v>30</v>
      </c>
      <c r="S35" s="32">
        <v>4</v>
      </c>
      <c r="T35" s="86" t="s">
        <v>84</v>
      </c>
      <c r="U35" s="87"/>
    </row>
    <row r="36" spans="2:23">
      <c r="R36" s="31">
        <v>31</v>
      </c>
      <c r="S36" s="32">
        <v>6</v>
      </c>
      <c r="T36" s="86" t="s">
        <v>84</v>
      </c>
      <c r="U36" s="87"/>
    </row>
    <row r="37" spans="2:23">
      <c r="R37" s="31">
        <v>31</v>
      </c>
      <c r="S37" s="32">
        <v>6</v>
      </c>
      <c r="T37" s="86" t="s">
        <v>84</v>
      </c>
      <c r="U37" s="87"/>
    </row>
    <row r="39" spans="2:23">
      <c r="R39" s="14" t="s">
        <v>100</v>
      </c>
      <c r="S39" s="82">
        <v>0.84</v>
      </c>
    </row>
    <row r="41" spans="2:23">
      <c r="C41" s="72" t="s">
        <v>85</v>
      </c>
      <c r="D41" s="73" t="s">
        <v>86</v>
      </c>
      <c r="E41" s="73" t="s">
        <v>87</v>
      </c>
      <c r="F41" s="73" t="s">
        <v>88</v>
      </c>
      <c r="G41" s="73" t="s">
        <v>89</v>
      </c>
      <c r="H41" s="73" t="s">
        <v>90</v>
      </c>
      <c r="I41" s="72" t="s">
        <v>91</v>
      </c>
    </row>
    <row r="42" spans="2:23" ht="18.75">
      <c r="C42" s="74" t="s">
        <v>92</v>
      </c>
      <c r="D42" s="75">
        <v>132</v>
      </c>
      <c r="E42" s="75">
        <v>100</v>
      </c>
      <c r="F42" s="75">
        <v>12</v>
      </c>
      <c r="G42" s="75">
        <v>14</v>
      </c>
      <c r="H42" s="75">
        <v>4000</v>
      </c>
      <c r="I42" s="75">
        <f>D42*F42*G42*H42/E42/10^6</f>
        <v>0.88704000000000005</v>
      </c>
    </row>
    <row r="43" spans="2:23" ht="18.75">
      <c r="C43" s="74" t="s">
        <v>92</v>
      </c>
      <c r="D43" s="75">
        <v>132</v>
      </c>
      <c r="E43" s="75">
        <v>100</v>
      </c>
      <c r="F43" s="75">
        <v>12</v>
      </c>
      <c r="G43" s="75">
        <v>14</v>
      </c>
      <c r="H43" s="75">
        <v>4000</v>
      </c>
      <c r="I43" s="75">
        <f>D43*F43*G43*H43/E43/10^6</f>
        <v>0.88704000000000005</v>
      </c>
    </row>
  </sheetData>
  <mergeCells count="4">
    <mergeCell ref="T35:U35"/>
    <mergeCell ref="T36:U36"/>
    <mergeCell ref="T37:U37"/>
    <mergeCell ref="T34:U34"/>
  </mergeCells>
  <phoneticPr fontId="6" type="noConversion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D153-9F72-F642-B886-5A7906DD6156}">
  <dimension ref="C2:K33"/>
  <sheetViews>
    <sheetView topLeftCell="D1" zoomScale="85" zoomScaleNormal="85" workbookViewId="0">
      <selection activeCell="K10" sqref="K10"/>
    </sheetView>
  </sheetViews>
  <sheetFormatPr defaultColWidth="11.44140625" defaultRowHeight="19.149999999999999"/>
  <cols>
    <col min="5" max="5" width="34.6640625" bestFit="1" customWidth="1"/>
    <col min="6" max="7" width="17.44140625" bestFit="1" customWidth="1"/>
    <col min="9" max="9" width="39.44140625" bestFit="1" customWidth="1"/>
    <col min="10" max="10" width="19.44140625" bestFit="1" customWidth="1"/>
    <col min="11" max="11" width="19" bestFit="1" customWidth="1"/>
  </cols>
  <sheetData>
    <row r="2" spans="3:11">
      <c r="E2" t="s">
        <v>93</v>
      </c>
      <c r="F2" t="s">
        <v>94</v>
      </c>
      <c r="G2" t="s">
        <v>95</v>
      </c>
      <c r="I2" t="s">
        <v>96</v>
      </c>
      <c r="J2" t="s">
        <v>97</v>
      </c>
      <c r="K2" t="s">
        <v>98</v>
      </c>
    </row>
    <row r="3" spans="3:11">
      <c r="C3">
        <f>-174+10*LOG(400000000)+3</f>
        <v>-84.979400086720375</v>
      </c>
      <c r="E3">
        <v>20</v>
      </c>
      <c r="F3">
        <v>63.787185000000001</v>
      </c>
      <c r="G3">
        <v>35.658315000000002</v>
      </c>
      <c r="I3">
        <v>20</v>
      </c>
      <c r="J3">
        <v>0</v>
      </c>
      <c r="K3">
        <v>0</v>
      </c>
    </row>
    <row r="4" spans="3:11">
      <c r="E4">
        <v>21</v>
      </c>
      <c r="F4">
        <v>74.726190000000003</v>
      </c>
      <c r="G4">
        <v>43.756020000000007</v>
      </c>
      <c r="I4">
        <v>21</v>
      </c>
      <c r="J4">
        <v>0</v>
      </c>
      <c r="K4">
        <v>0</v>
      </c>
    </row>
    <row r="5" spans="3:11">
      <c r="C5">
        <v>48</v>
      </c>
      <c r="E5">
        <v>22</v>
      </c>
      <c r="F5">
        <v>85.523130000000023</v>
      </c>
      <c r="G5">
        <v>53.842635000000008</v>
      </c>
      <c r="I5">
        <v>22</v>
      </c>
      <c r="J5">
        <v>0</v>
      </c>
      <c r="K5">
        <v>0</v>
      </c>
    </row>
    <row r="6" spans="3:11">
      <c r="E6">
        <v>23</v>
      </c>
      <c r="F6">
        <v>96.462135000000018</v>
      </c>
      <c r="G6">
        <v>63.787185000000001</v>
      </c>
      <c r="I6">
        <v>23</v>
      </c>
      <c r="J6">
        <v>0</v>
      </c>
      <c r="K6">
        <v>0</v>
      </c>
    </row>
    <row r="7" spans="3:11">
      <c r="E7">
        <v>24</v>
      </c>
      <c r="F7">
        <v>96.60420000000002</v>
      </c>
      <c r="G7">
        <v>74.726190000000003</v>
      </c>
      <c r="I7">
        <v>24</v>
      </c>
      <c r="J7">
        <v>0</v>
      </c>
      <c r="K7">
        <v>0</v>
      </c>
    </row>
    <row r="8" spans="3:11">
      <c r="E8">
        <v>25</v>
      </c>
      <c r="F8">
        <v>107.40114</v>
      </c>
      <c r="G8">
        <v>85.523130000000023</v>
      </c>
      <c r="I8">
        <v>25</v>
      </c>
      <c r="J8">
        <v>17</v>
      </c>
      <c r="K8">
        <v>0</v>
      </c>
    </row>
    <row r="9" spans="3:11">
      <c r="C9">
        <f>C5-C3</f>
        <v>132.97940008672037</v>
      </c>
      <c r="E9">
        <v>26</v>
      </c>
      <c r="F9">
        <v>123.31242</v>
      </c>
      <c r="G9">
        <v>96.462135000000018</v>
      </c>
      <c r="I9">
        <v>26</v>
      </c>
      <c r="J9">
        <v>22.3</v>
      </c>
      <c r="K9">
        <v>0</v>
      </c>
    </row>
    <row r="10" spans="3:11">
      <c r="E10">
        <v>27</v>
      </c>
      <c r="F10">
        <v>139.22370000000001</v>
      </c>
      <c r="G10">
        <v>96.60420000000002</v>
      </c>
      <c r="I10">
        <v>27</v>
      </c>
      <c r="J10">
        <v>27.4</v>
      </c>
      <c r="K10">
        <v>0</v>
      </c>
    </row>
    <row r="11" spans="3:11">
      <c r="E11">
        <v>28</v>
      </c>
      <c r="F11">
        <v>157.12388999999999</v>
      </c>
      <c r="G11">
        <v>107.40114</v>
      </c>
      <c r="I11">
        <v>28</v>
      </c>
      <c r="J11">
        <v>35.700000000000003</v>
      </c>
      <c r="K11">
        <v>0</v>
      </c>
    </row>
    <row r="12" spans="3:11">
      <c r="E12">
        <v>29</v>
      </c>
      <c r="F12">
        <v>175.02408</v>
      </c>
      <c r="G12">
        <v>123.31242</v>
      </c>
      <c r="I12">
        <v>29</v>
      </c>
      <c r="J12">
        <v>35.700000000000003</v>
      </c>
      <c r="K12">
        <v>0</v>
      </c>
    </row>
    <row r="13" spans="3:11">
      <c r="E13">
        <v>30</v>
      </c>
      <c r="F13">
        <v>186.95753999999999</v>
      </c>
      <c r="G13">
        <v>139.22370000000001</v>
      </c>
      <c r="I13">
        <v>30</v>
      </c>
      <c r="J13">
        <v>43.8</v>
      </c>
      <c r="K13">
        <v>17</v>
      </c>
    </row>
    <row r="14" spans="3:11">
      <c r="E14">
        <v>31</v>
      </c>
      <c r="F14">
        <v>186.67340999999999</v>
      </c>
      <c r="G14">
        <v>157.12388999999999</v>
      </c>
      <c r="I14">
        <v>31</v>
      </c>
      <c r="J14">
        <v>53.8</v>
      </c>
      <c r="K14">
        <v>22.3</v>
      </c>
    </row>
    <row r="15" spans="3:11">
      <c r="E15">
        <v>32</v>
      </c>
      <c r="F15">
        <v>198.60686999999999</v>
      </c>
      <c r="G15">
        <v>175.02408</v>
      </c>
      <c r="I15">
        <v>32</v>
      </c>
      <c r="J15">
        <v>63.8</v>
      </c>
      <c r="K15">
        <v>27.4</v>
      </c>
    </row>
    <row r="16" spans="3:11">
      <c r="E16">
        <v>33</v>
      </c>
      <c r="F16">
        <v>220.342815</v>
      </c>
      <c r="G16">
        <v>186.95753999999999</v>
      </c>
      <c r="I16">
        <v>33</v>
      </c>
      <c r="J16">
        <v>74.7</v>
      </c>
      <c r="K16">
        <v>35.700000000000003</v>
      </c>
    </row>
    <row r="17" spans="5:11">
      <c r="E17">
        <v>34</v>
      </c>
      <c r="F17">
        <v>241.65256500000001</v>
      </c>
      <c r="G17">
        <v>186.67340999999999</v>
      </c>
      <c r="I17">
        <v>34</v>
      </c>
      <c r="J17">
        <v>85.5</v>
      </c>
      <c r="K17">
        <v>43.8</v>
      </c>
    </row>
    <row r="18" spans="5:11">
      <c r="E18">
        <v>35</v>
      </c>
      <c r="F18">
        <v>262.53611999999998</v>
      </c>
      <c r="G18">
        <v>198.60686999999999</v>
      </c>
      <c r="I18">
        <v>35</v>
      </c>
      <c r="J18">
        <v>96.5</v>
      </c>
      <c r="K18">
        <v>43.8</v>
      </c>
    </row>
    <row r="19" spans="5:11">
      <c r="E19">
        <v>36</v>
      </c>
      <c r="F19">
        <v>283.84586999999999</v>
      </c>
      <c r="G19">
        <v>220.342815</v>
      </c>
      <c r="I19">
        <v>36</v>
      </c>
      <c r="J19">
        <v>96.6</v>
      </c>
      <c r="K19">
        <v>53.8</v>
      </c>
    </row>
    <row r="20" spans="5:11">
      <c r="E20">
        <v>37</v>
      </c>
      <c r="F20">
        <v>283.84586999999999</v>
      </c>
      <c r="G20">
        <v>241.65256500000001</v>
      </c>
      <c r="I20">
        <v>37</v>
      </c>
      <c r="J20">
        <v>107.4</v>
      </c>
      <c r="K20">
        <v>63.8</v>
      </c>
    </row>
    <row r="21" spans="5:11">
      <c r="E21">
        <v>38</v>
      </c>
      <c r="F21">
        <v>306.43420500000002</v>
      </c>
      <c r="G21">
        <v>241.65256500000001</v>
      </c>
      <c r="I21">
        <v>38</v>
      </c>
      <c r="J21">
        <v>123.3</v>
      </c>
      <c r="K21">
        <v>74.7</v>
      </c>
    </row>
    <row r="22" spans="5:11">
      <c r="E22">
        <v>39</v>
      </c>
      <c r="F22">
        <v>329.02253999999999</v>
      </c>
      <c r="G22">
        <v>262.53611999999998</v>
      </c>
      <c r="I22">
        <v>39</v>
      </c>
      <c r="J22">
        <v>139.19999999999999</v>
      </c>
      <c r="K22">
        <v>85.5</v>
      </c>
    </row>
    <row r="23" spans="5:11">
      <c r="E23">
        <v>40</v>
      </c>
      <c r="F23">
        <v>350.33229000000011</v>
      </c>
      <c r="G23">
        <v>283.84586999999999</v>
      </c>
      <c r="I23">
        <v>40</v>
      </c>
      <c r="J23">
        <v>157.1</v>
      </c>
      <c r="K23">
        <v>96.5</v>
      </c>
    </row>
    <row r="24" spans="5:11">
      <c r="E24">
        <v>41</v>
      </c>
      <c r="F24">
        <v>350.33229000000011</v>
      </c>
      <c r="G24">
        <v>306.43420500000002</v>
      </c>
      <c r="I24">
        <v>41</v>
      </c>
      <c r="J24">
        <v>175</v>
      </c>
      <c r="K24">
        <v>96.6</v>
      </c>
    </row>
    <row r="25" spans="5:11">
      <c r="E25">
        <v>42</v>
      </c>
      <c r="F25">
        <v>372.06823500000007</v>
      </c>
      <c r="G25">
        <v>329.02253999999999</v>
      </c>
      <c r="I25">
        <v>42</v>
      </c>
      <c r="J25">
        <v>187</v>
      </c>
      <c r="K25">
        <v>107.4</v>
      </c>
    </row>
    <row r="26" spans="5:11">
      <c r="E26">
        <v>43</v>
      </c>
      <c r="F26">
        <v>387.83744999999999</v>
      </c>
      <c r="G26">
        <v>329.02253999999999</v>
      </c>
      <c r="I26">
        <v>43</v>
      </c>
      <c r="J26">
        <v>186.7</v>
      </c>
      <c r="K26">
        <v>123.3</v>
      </c>
    </row>
    <row r="27" spans="5:11">
      <c r="E27">
        <v>44</v>
      </c>
      <c r="F27">
        <v>404.03286000000008</v>
      </c>
      <c r="G27">
        <v>350.33229000000011</v>
      </c>
      <c r="I27">
        <v>44</v>
      </c>
      <c r="J27">
        <v>198.6</v>
      </c>
      <c r="K27">
        <v>139.19999999999999</v>
      </c>
    </row>
    <row r="28" spans="5:11">
      <c r="E28">
        <v>45</v>
      </c>
      <c r="F28">
        <v>404.03286000000008</v>
      </c>
      <c r="G28">
        <v>372.06823500000007</v>
      </c>
      <c r="I28">
        <v>45</v>
      </c>
      <c r="J28">
        <v>220.3</v>
      </c>
      <c r="K28">
        <v>157.1</v>
      </c>
    </row>
    <row r="29" spans="5:11">
      <c r="E29">
        <v>46</v>
      </c>
      <c r="F29">
        <v>404.03286000000008</v>
      </c>
      <c r="G29">
        <v>387.83744999999999</v>
      </c>
      <c r="I29">
        <v>46</v>
      </c>
      <c r="J29">
        <v>241.78</v>
      </c>
      <c r="K29">
        <v>175</v>
      </c>
    </row>
    <row r="30" spans="5:11">
      <c r="E30">
        <v>47</v>
      </c>
      <c r="F30">
        <v>404.03286000000008</v>
      </c>
      <c r="G30">
        <v>404.03286000000008</v>
      </c>
      <c r="I30">
        <v>47</v>
      </c>
      <c r="J30">
        <v>262.5</v>
      </c>
      <c r="K30">
        <v>187</v>
      </c>
    </row>
    <row r="31" spans="5:11">
      <c r="E31">
        <v>48</v>
      </c>
      <c r="F31">
        <v>404.03286000000008</v>
      </c>
      <c r="G31">
        <v>404.03286000000008</v>
      </c>
      <c r="I31">
        <v>48</v>
      </c>
      <c r="J31">
        <v>262.5</v>
      </c>
      <c r="K31">
        <v>198.6</v>
      </c>
    </row>
    <row r="32" spans="5:11">
      <c r="E32">
        <v>49</v>
      </c>
      <c r="F32">
        <v>404.03286000000008</v>
      </c>
      <c r="G32">
        <v>404.03286000000008</v>
      </c>
      <c r="I32">
        <v>49</v>
      </c>
      <c r="J32">
        <v>283.8</v>
      </c>
      <c r="K32">
        <v>198.6</v>
      </c>
    </row>
    <row r="33" spans="5:7">
      <c r="E33">
        <v>50</v>
      </c>
      <c r="F33">
        <v>404.03286000000008</v>
      </c>
      <c r="G33">
        <v>404.03286000000008</v>
      </c>
    </row>
  </sheetData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480d98-0f8d-4d05-afaa-44bf081095f1">
      <Terms xmlns="http://schemas.microsoft.com/office/infopath/2007/PartnerControls"/>
    </lcf76f155ced4ddcb4097134ff3c332f>
    <TaxCatchAll xmlns="bdb9704a-2030-480c-8986-081ccc1b57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190BEC544794B8A607077898BFDEE" ma:contentTypeVersion="10" ma:contentTypeDescription="Create a new document." ma:contentTypeScope="" ma:versionID="370df0cd2ebfb03d53941acb3c5fe7dc">
  <xsd:schema xmlns:xsd="http://www.w3.org/2001/XMLSchema" xmlns:xs="http://www.w3.org/2001/XMLSchema" xmlns:p="http://schemas.microsoft.com/office/2006/metadata/properties" xmlns:ns2="bf480d98-0f8d-4d05-afaa-44bf081095f1" xmlns:ns3="bdb9704a-2030-480c-8986-081ccc1b5753" targetNamespace="http://schemas.microsoft.com/office/2006/metadata/properties" ma:root="true" ma:fieldsID="f0b6ba6447e556662d08753a0d4e6d8b" ns2:_="" ns3:_="">
    <xsd:import namespace="bf480d98-0f8d-4d05-afaa-44bf081095f1"/>
    <xsd:import namespace="bdb9704a-2030-480c-8986-081ccc1b57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80d98-0f8d-4d05-afaa-44bf081095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cb74e1-260c-408f-8ad5-d5d4798f72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b9704a-2030-480c-8986-081ccc1b57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570b3c-143b-4d2a-be57-fa195947e603}" ma:internalName="TaxCatchAll" ma:showField="CatchAllData" ma:web="bdb9704a-2030-480c-8986-081ccc1b57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130599-7347-4A16-A2F7-54EEE5CAD5B6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bf480d98-0f8d-4d05-afaa-44bf081095f1"/>
    <ds:schemaRef ds:uri="http://purl.org/dc/terms/"/>
    <ds:schemaRef ds:uri="http://schemas.openxmlformats.org/package/2006/metadata/core-properties"/>
    <ds:schemaRef ds:uri="bdb9704a-2030-480c-8986-081ccc1b5753"/>
  </ds:schemaRefs>
</ds:datastoreItem>
</file>

<file path=customXml/itemProps2.xml><?xml version="1.0" encoding="utf-8"?>
<ds:datastoreItem xmlns:ds="http://schemas.openxmlformats.org/officeDocument/2006/customXml" ds:itemID="{FE48ED13-4E33-4D3A-BCCE-94F821C6A3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480d98-0f8d-4d05-afaa-44bf081095f1"/>
    <ds:schemaRef ds:uri="bdb9704a-2030-480c-8986-081ccc1b57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08E6AF-7CE6-4411-A927-B358B9778F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Linkbudget</vt:lpstr>
      <vt:lpstr>MCS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Derick Lee</dc:creator>
  <cp:keywords/>
  <dc:description/>
  <cp:lastModifiedBy>최영현</cp:lastModifiedBy>
  <cp:revision/>
  <dcterms:created xsi:type="dcterms:W3CDTF">2025-08-17T07:56:24Z</dcterms:created>
  <dcterms:modified xsi:type="dcterms:W3CDTF">2026-09-03T08:16:51Z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0x0101001D3190BEC544794B8A607077898BFDEE</vt:lpwstr>
  </property>
  <property fmtid="{D5CDD505-2E9C-101B-9397-08002B2CF9AE}" pid="3" name="MediaServiceImageTags">
    <vt:lpwstr/>
  </property>
</Properties>
</file>