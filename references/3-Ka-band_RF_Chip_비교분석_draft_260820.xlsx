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oi.yh\Desktop\업무\교육 자료\2026 미래내일 일경험 사업\"/>
    </mc:Choice>
  </mc:AlternateContent>
  <xr:revisionPtr revIDLastSave="0" documentId="8_{4DD5B3C7-A127-4A80-BDC4-621DECF7BBF1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안내(README)" sheetId="1" r:id="rId1"/>
    <sheet name="Overview_요약" sheetId="2" r:id="rId2"/>
    <sheet name="Beamformer_BFIC" sheetId="3" r:id="rId3"/>
    <sheet name="FEM_PA_LNA_Switch" sheetId="4" r:id="rId4"/>
    <sheet name="Converter_Mixer" sheetId="5" r:id="rId5"/>
    <sheet name="PLL_Synthesizer" sheetId="6" r:id="rId6"/>
    <sheet name="DataConverter_ADC_DAC" sheetId="7" r:id="rId7"/>
  </sheets>
  <definedNames>
    <definedName name="_xlnm._FilterDatabase" localSheetId="1" hidden="1">Overview_요약!$A$4:$J$54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2" l="1"/>
  <c r="F54" i="2"/>
  <c r="E54" i="2"/>
  <c r="D54" i="2"/>
  <c r="J54" i="2" s="1"/>
  <c r="H53" i="2"/>
  <c r="F53" i="2"/>
  <c r="E53" i="2"/>
  <c r="D53" i="2"/>
  <c r="J53" i="2" s="1"/>
  <c r="H52" i="2"/>
  <c r="F52" i="2"/>
  <c r="E52" i="2"/>
  <c r="D52" i="2"/>
  <c r="J52" i="2" s="1"/>
  <c r="J51" i="2"/>
  <c r="H51" i="2"/>
  <c r="F51" i="2"/>
  <c r="E51" i="2"/>
  <c r="D51" i="2"/>
  <c r="H50" i="2"/>
  <c r="F50" i="2"/>
  <c r="E50" i="2"/>
  <c r="D50" i="2"/>
  <c r="J50" i="2" s="1"/>
  <c r="J49" i="2"/>
  <c r="H49" i="2"/>
  <c r="F49" i="2"/>
  <c r="E49" i="2"/>
  <c r="D49" i="2"/>
  <c r="J48" i="2"/>
  <c r="G48" i="2"/>
  <c r="F48" i="2"/>
  <c r="E48" i="2"/>
  <c r="D48" i="2"/>
  <c r="G47" i="2"/>
  <c r="F47" i="2"/>
  <c r="E47" i="2"/>
  <c r="D47" i="2"/>
  <c r="J47" i="2" s="1"/>
  <c r="G46" i="2"/>
  <c r="F46" i="2"/>
  <c r="E46" i="2"/>
  <c r="D46" i="2"/>
  <c r="J46" i="2" s="1"/>
  <c r="G45" i="2"/>
  <c r="F45" i="2"/>
  <c r="E45" i="2"/>
  <c r="D45" i="2"/>
  <c r="J45" i="2" s="1"/>
  <c r="G44" i="2"/>
  <c r="F44" i="2"/>
  <c r="E44" i="2"/>
  <c r="D44" i="2"/>
  <c r="J44" i="2" s="1"/>
  <c r="G43" i="2"/>
  <c r="F43" i="2"/>
  <c r="E43" i="2"/>
  <c r="D43" i="2"/>
  <c r="J43" i="2" s="1"/>
  <c r="J42" i="2"/>
  <c r="G42" i="2"/>
  <c r="F42" i="2"/>
  <c r="E42" i="2"/>
  <c r="D42" i="2"/>
  <c r="G41" i="2"/>
  <c r="F41" i="2"/>
  <c r="E41" i="2"/>
  <c r="D41" i="2"/>
  <c r="J41" i="2" s="1"/>
  <c r="G40" i="2"/>
  <c r="F40" i="2"/>
  <c r="E40" i="2"/>
  <c r="D40" i="2"/>
  <c r="J40" i="2" s="1"/>
  <c r="J39" i="2"/>
  <c r="G39" i="2"/>
  <c r="F39" i="2"/>
  <c r="E39" i="2"/>
  <c r="D39" i="2"/>
  <c r="G38" i="2"/>
  <c r="F38" i="2"/>
  <c r="E38" i="2"/>
  <c r="D38" i="2"/>
  <c r="J38" i="2" s="1"/>
  <c r="G37" i="2"/>
  <c r="F37" i="2"/>
  <c r="E37" i="2"/>
  <c r="D37" i="2"/>
  <c r="J37" i="2" s="1"/>
  <c r="J36" i="2"/>
  <c r="G36" i="2"/>
  <c r="F36" i="2"/>
  <c r="E36" i="2"/>
  <c r="D36" i="2"/>
  <c r="J35" i="2"/>
  <c r="G35" i="2"/>
  <c r="F35" i="2"/>
  <c r="E35" i="2"/>
  <c r="D35" i="2"/>
  <c r="G34" i="2"/>
  <c r="F34" i="2"/>
  <c r="E34" i="2"/>
  <c r="D34" i="2"/>
  <c r="J34" i="2" s="1"/>
  <c r="J33" i="2"/>
  <c r="G33" i="2"/>
  <c r="F33" i="2"/>
  <c r="E33" i="2"/>
  <c r="D33" i="2"/>
  <c r="J32" i="2"/>
  <c r="G32" i="2"/>
  <c r="F32" i="2"/>
  <c r="E32" i="2"/>
  <c r="D32" i="2"/>
  <c r="G31" i="2"/>
  <c r="F31" i="2"/>
  <c r="E31" i="2"/>
  <c r="D31" i="2"/>
  <c r="J31" i="2" s="1"/>
  <c r="G30" i="2"/>
  <c r="F30" i="2"/>
  <c r="E30" i="2"/>
  <c r="D30" i="2"/>
  <c r="J30" i="2" s="1"/>
  <c r="G29" i="2"/>
  <c r="F29" i="2"/>
  <c r="E29" i="2"/>
  <c r="D29" i="2"/>
  <c r="J29" i="2" s="1"/>
  <c r="G28" i="2"/>
  <c r="F28" i="2"/>
  <c r="E28" i="2"/>
  <c r="D28" i="2"/>
  <c r="J28" i="2" s="1"/>
  <c r="G27" i="2"/>
  <c r="F27" i="2"/>
  <c r="E27" i="2"/>
  <c r="D27" i="2"/>
  <c r="J27" i="2" s="1"/>
  <c r="J26" i="2"/>
  <c r="G26" i="2"/>
  <c r="F26" i="2"/>
  <c r="E26" i="2"/>
  <c r="D26" i="2"/>
  <c r="G25" i="2"/>
  <c r="F25" i="2"/>
  <c r="E25" i="2"/>
  <c r="D25" i="2"/>
  <c r="J25" i="2" s="1"/>
  <c r="G24" i="2"/>
  <c r="F24" i="2"/>
  <c r="E24" i="2"/>
  <c r="D24" i="2"/>
  <c r="J24" i="2" s="1"/>
  <c r="G23" i="2"/>
  <c r="F23" i="2"/>
  <c r="E23" i="2"/>
  <c r="D23" i="2"/>
  <c r="J23" i="2" s="1"/>
  <c r="G22" i="2"/>
  <c r="F22" i="2"/>
  <c r="E22" i="2"/>
  <c r="D22" i="2"/>
  <c r="J22" i="2" s="1"/>
  <c r="G21" i="2"/>
  <c r="F21" i="2"/>
  <c r="E21" i="2"/>
  <c r="D21" i="2"/>
  <c r="J21" i="2" s="1"/>
  <c r="J20" i="2"/>
  <c r="I20" i="2"/>
  <c r="H20" i="2"/>
  <c r="G20" i="2"/>
  <c r="F20" i="2"/>
  <c r="E20" i="2"/>
  <c r="D20" i="2"/>
  <c r="I19" i="2"/>
  <c r="H19" i="2"/>
  <c r="G19" i="2"/>
  <c r="F19" i="2"/>
  <c r="E19" i="2"/>
  <c r="D19" i="2"/>
  <c r="J19" i="2" s="1"/>
  <c r="J18" i="2"/>
  <c r="I18" i="2"/>
  <c r="H18" i="2"/>
  <c r="G18" i="2"/>
  <c r="F18" i="2"/>
  <c r="E18" i="2"/>
  <c r="D18" i="2"/>
  <c r="J17" i="2"/>
  <c r="I17" i="2"/>
  <c r="H17" i="2"/>
  <c r="G17" i="2"/>
  <c r="F17" i="2"/>
  <c r="E17" i="2"/>
  <c r="D17" i="2"/>
  <c r="I16" i="2"/>
  <c r="H16" i="2"/>
  <c r="G16" i="2"/>
  <c r="F16" i="2"/>
  <c r="E16" i="2"/>
  <c r="D16" i="2"/>
  <c r="J16" i="2" s="1"/>
  <c r="I15" i="2"/>
  <c r="H15" i="2"/>
  <c r="G15" i="2"/>
  <c r="F15" i="2"/>
  <c r="E15" i="2"/>
  <c r="D15" i="2"/>
  <c r="J15" i="2" s="1"/>
  <c r="I14" i="2"/>
  <c r="H14" i="2"/>
  <c r="G14" i="2"/>
  <c r="F14" i="2"/>
  <c r="E14" i="2"/>
  <c r="D14" i="2"/>
  <c r="J14" i="2" s="1"/>
  <c r="J13" i="2"/>
  <c r="I13" i="2"/>
  <c r="H13" i="2"/>
  <c r="G13" i="2"/>
  <c r="F13" i="2"/>
  <c r="E13" i="2"/>
  <c r="D13" i="2"/>
  <c r="I12" i="2"/>
  <c r="H12" i="2"/>
  <c r="G12" i="2"/>
  <c r="F12" i="2"/>
  <c r="E12" i="2"/>
  <c r="D12" i="2"/>
  <c r="J12" i="2" s="1"/>
  <c r="I11" i="2"/>
  <c r="H11" i="2"/>
  <c r="G11" i="2"/>
  <c r="F11" i="2"/>
  <c r="E11" i="2"/>
  <c r="D11" i="2"/>
  <c r="J11" i="2" s="1"/>
  <c r="I10" i="2"/>
  <c r="H10" i="2"/>
  <c r="G10" i="2"/>
  <c r="F10" i="2"/>
  <c r="E10" i="2"/>
  <c r="D10" i="2"/>
  <c r="J10" i="2" s="1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I7" i="2"/>
  <c r="H7" i="2"/>
  <c r="G7" i="2"/>
  <c r="F7" i="2"/>
  <c r="E7" i="2"/>
  <c r="D7" i="2"/>
  <c r="J7" i="2" s="1"/>
  <c r="J6" i="2"/>
  <c r="I6" i="2"/>
  <c r="H6" i="2"/>
  <c r="G6" i="2"/>
  <c r="F6" i="2"/>
  <c r="E6" i="2"/>
  <c r="D6" i="2"/>
  <c r="I5" i="2"/>
  <c r="H5" i="2"/>
  <c r="G5" i="2"/>
  <c r="F5" i="2"/>
  <c r="E5" i="2"/>
  <c r="D5" i="2"/>
  <c r="J5" i="2" s="1"/>
</calcChain>
</file>

<file path=xl/sharedStrings.xml><?xml version="1.0" encoding="utf-8"?>
<sst xmlns="http://schemas.openxmlformats.org/spreadsheetml/2006/main" count="1154" uniqueCount="491">
  <si>
    <r>
      <rPr>
        <b/>
        <sz val="14"/>
        <color rgb="FFFFFFFF"/>
        <rFont val="Arial"/>
        <family val="2"/>
      </rPr>
      <t xml:space="preserve">Ka-band RF Chip </t>
    </r>
    <r>
      <rPr>
        <b/>
        <sz val="14"/>
        <color rgb="FFFFFFFF"/>
        <rFont val="Noto Sans CJK SC"/>
        <family val="2"/>
      </rPr>
      <t>비교 분석 — 작성 안내</t>
    </r>
  </si>
  <si>
    <t>■ 목적</t>
  </si>
  <si>
    <r>
      <rPr>
        <sz val="10"/>
        <color rgb="FF000000"/>
        <rFont val="Arial"/>
        <family val="2"/>
      </rPr>
      <t xml:space="preserve">Ka-band Terminal </t>
    </r>
    <r>
      <rPr>
        <sz val="10"/>
        <color rgb="FF000000"/>
        <rFont val="Noto Sans CJK SC"/>
        <family val="2"/>
      </rPr>
      <t xml:space="preserve">및 </t>
    </r>
    <r>
      <rPr>
        <sz val="10"/>
        <color rgb="FF000000"/>
        <rFont val="Arial"/>
        <family val="2"/>
      </rPr>
      <t xml:space="preserve">Payload </t>
    </r>
    <r>
      <rPr>
        <sz val="10"/>
        <color rgb="FF000000"/>
        <rFont val="Noto Sans CJK SC"/>
        <family val="2"/>
      </rPr>
      <t>능동위상배열</t>
    </r>
    <r>
      <rPr>
        <sz val="10"/>
        <color rgb="FF000000"/>
        <rFont val="Arial"/>
        <family val="2"/>
      </rPr>
      <t>(ESA)</t>
    </r>
    <r>
      <rPr>
        <sz val="10"/>
        <color rgb="FF000000"/>
        <rFont val="Noto Sans CJK SC"/>
        <family val="2"/>
      </rPr>
      <t xml:space="preserve">에 사용되는 </t>
    </r>
    <r>
      <rPr>
        <sz val="10"/>
        <color rgb="FF000000"/>
        <rFont val="Arial"/>
        <family val="2"/>
      </rPr>
      <t>RFIC</t>
    </r>
    <r>
      <rPr>
        <sz val="10"/>
        <color rgb="FF000000"/>
        <rFont val="Noto Sans CJK SC"/>
        <family val="2"/>
      </rPr>
      <t>를 모델별로 지표 비교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분석하기 위한 템플릿</t>
    </r>
    <r>
      <rPr>
        <sz val="10"/>
        <color rgb="FF000000"/>
        <rFont val="Arial"/>
        <family val="2"/>
      </rPr>
      <t>.</t>
    </r>
  </si>
  <si>
    <t>■ 시트 구성</t>
  </si>
  <si>
    <t>① Beamformer_BFIC  ② FEM_PA_LNA_Switch  ③ Converter_Mixer  ④ PLL_Synthesizer  ⑤ DataConverter_ADC_DAC</t>
  </si>
  <si>
    <t>■ 사용 방법</t>
  </si>
  <si>
    <r>
      <rPr>
        <sz val="10"/>
        <color rgb="FF000000"/>
        <rFont val="Noto Sans CJK SC"/>
        <family val="2"/>
      </rPr>
      <t xml:space="preserve">각 시트에서 </t>
    </r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항목</t>
    </r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은 행</t>
    </r>
    <r>
      <rPr>
        <sz val="10"/>
        <color rgb="FF000000"/>
        <rFont val="Arial"/>
        <family val="2"/>
      </rPr>
      <t>, '</t>
    </r>
    <r>
      <rPr>
        <sz val="10"/>
        <color rgb="FF000000"/>
        <rFont val="Noto Sans CJK SC"/>
        <family val="2"/>
      </rPr>
      <t>칩 모델</t>
    </r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은 열</t>
    </r>
    <r>
      <rPr>
        <sz val="10"/>
        <color rgb="FF000000"/>
        <rFont val="Arial"/>
        <family val="2"/>
      </rPr>
      <t xml:space="preserve">. datasheet </t>
    </r>
    <r>
      <rPr>
        <sz val="10"/>
        <color rgb="FF000000"/>
        <rFont val="Noto Sans CJK SC"/>
        <family val="2"/>
      </rPr>
      <t>확인 후 노란색 셀</t>
    </r>
    <r>
      <rPr>
        <sz val="10"/>
        <color rgb="FF000000"/>
        <rFont val="Arial"/>
        <family val="2"/>
      </rPr>
      <t>(Model 1~5)</t>
    </r>
    <r>
      <rPr>
        <sz val="10"/>
        <color rgb="FF000000"/>
        <rFont val="Noto Sans CJK SC"/>
        <family val="2"/>
      </rPr>
      <t>에 값 입력</t>
    </r>
    <r>
      <rPr>
        <sz val="10"/>
        <color rgb="FF000000"/>
        <rFont val="Arial"/>
        <family val="2"/>
      </rPr>
      <t>.</t>
    </r>
  </si>
  <si>
    <t>■ 열 안내</t>
  </si>
  <si>
    <r>
      <rPr>
        <sz val="10"/>
        <color rgb="FF000000"/>
        <rFont val="Noto Sans CJK SC"/>
        <family val="2"/>
      </rPr>
      <t>구분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 xml:space="preserve">지표 그룹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항목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 xml:space="preserve">파라미터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단위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 xml:space="preserve">값 단위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예시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>형식 참고용 대표값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실제값 아님</t>
    </r>
    <r>
      <rPr>
        <sz val="10"/>
        <color rgb="FF000000"/>
        <rFont val="Arial"/>
        <family val="2"/>
      </rPr>
      <t>) / T-1~=Terminal</t>
    </r>
    <r>
      <rPr>
        <sz val="10"/>
        <color rgb="FF000000"/>
        <rFont val="Noto Sans CJK SC"/>
        <family val="2"/>
      </rPr>
      <t xml:space="preserve">용 칩 </t>
    </r>
    <r>
      <rPr>
        <sz val="10"/>
        <color rgb="FF000000"/>
        <rFont val="Arial"/>
        <family val="2"/>
      </rPr>
      <t>/ P-1~=Payload</t>
    </r>
    <r>
      <rPr>
        <sz val="10"/>
        <color rgb="FF000000"/>
        <rFont val="Noto Sans CJK SC"/>
        <family val="2"/>
      </rPr>
      <t>용 칩</t>
    </r>
    <r>
      <rPr>
        <sz val="10"/>
        <color rgb="FF000000"/>
        <rFont val="Arial"/>
        <family val="2"/>
      </rPr>
      <t>.</t>
    </r>
  </si>
  <si>
    <r>
      <rPr>
        <b/>
        <sz val="10"/>
        <color rgb="FF1F3864"/>
        <rFont val="Arial"/>
        <family val="2"/>
      </rPr>
      <t xml:space="preserve">■ T/P </t>
    </r>
    <r>
      <rPr>
        <b/>
        <sz val="10"/>
        <color rgb="FF1F3864"/>
        <rFont val="Noto Sans CJK SC"/>
        <family val="2"/>
      </rPr>
      <t>구분</t>
    </r>
  </si>
  <si>
    <r>
      <rPr>
        <sz val="10"/>
        <color rgb="FF000000"/>
        <rFont val="Noto Sans CJK SC"/>
        <family val="2"/>
      </rPr>
      <t xml:space="preserve">모델 열이 파란색 </t>
    </r>
    <r>
      <rPr>
        <sz val="10"/>
        <color rgb="FF000000"/>
        <rFont val="Arial"/>
        <family val="2"/>
      </rPr>
      <t xml:space="preserve">'Terminal </t>
    </r>
    <r>
      <rPr>
        <sz val="10"/>
        <color rgb="FF000000"/>
        <rFont val="Noto Sans CJK SC"/>
        <family val="2"/>
      </rPr>
      <t>용</t>
    </r>
    <r>
      <rPr>
        <sz val="10"/>
        <color rgb="FF000000"/>
        <rFont val="Arial"/>
        <family val="2"/>
      </rPr>
      <t>'(T-1,2,3)</t>
    </r>
    <r>
      <rPr>
        <sz val="10"/>
        <color rgb="FF000000"/>
        <rFont val="Noto Sans CJK SC"/>
        <family val="2"/>
      </rPr>
      <t xml:space="preserve">과 주황색 </t>
    </r>
    <r>
      <rPr>
        <sz val="10"/>
        <color rgb="FF000000"/>
        <rFont val="Arial"/>
        <family val="2"/>
      </rPr>
      <t xml:space="preserve">'Payload </t>
    </r>
    <r>
      <rPr>
        <sz val="10"/>
        <color rgb="FF000000"/>
        <rFont val="Noto Sans CJK SC"/>
        <family val="2"/>
      </rPr>
      <t>용</t>
    </r>
    <r>
      <rPr>
        <sz val="10"/>
        <color rgb="FF000000"/>
        <rFont val="Arial"/>
        <family val="2"/>
      </rPr>
      <t xml:space="preserve">'(P-1,2,3) </t>
    </r>
    <r>
      <rPr>
        <sz val="10"/>
        <color rgb="FF000000"/>
        <rFont val="Noto Sans CJK SC"/>
        <family val="2"/>
      </rPr>
      <t>구역으로 나뉨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 xml:space="preserve">상단 </t>
    </r>
    <r>
      <rPr>
        <sz val="10"/>
        <color rgb="FF000000"/>
        <rFont val="Arial"/>
        <family val="2"/>
      </rPr>
      <t xml:space="preserve">[+]/[−] </t>
    </r>
    <r>
      <rPr>
        <sz val="10"/>
        <color rgb="FF000000"/>
        <rFont val="Noto Sans CJK SC"/>
        <family val="2"/>
      </rPr>
      <t>버튼으로 각 구역을 접었다 펼 수 있음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데이터→그룹</t>
    </r>
    <r>
      <rPr>
        <sz val="10"/>
        <color rgb="FF000000"/>
        <rFont val="Arial"/>
        <family val="2"/>
      </rPr>
      <t>).</t>
    </r>
  </si>
  <si>
    <t>■ Overview</t>
  </si>
  <si>
    <r>
      <rPr>
        <sz val="10"/>
        <color rgb="FF000000"/>
        <rFont val="Noto Sans CJK SC"/>
        <family val="2"/>
      </rPr>
      <t xml:space="preserve">맨 앞 </t>
    </r>
    <r>
      <rPr>
        <sz val="10"/>
        <color rgb="FF000000"/>
        <rFont val="Arial"/>
        <family val="2"/>
      </rPr>
      <t>'Overview_</t>
    </r>
    <r>
      <rPr>
        <sz val="10"/>
        <color rgb="FF000000"/>
        <rFont val="Noto Sans CJK SC"/>
        <family val="2"/>
      </rPr>
      <t>요약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Noto Sans CJK SC"/>
        <family val="2"/>
      </rPr>
      <t>시트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각 블록 시트 </t>
    </r>
    <r>
      <rPr>
        <sz val="10"/>
        <color rgb="FF000000"/>
        <rFont val="Arial"/>
        <family val="2"/>
      </rPr>
      <t xml:space="preserve">T/P </t>
    </r>
    <r>
      <rPr>
        <sz val="10"/>
        <color rgb="FF000000"/>
        <rFont val="Noto Sans CJK SC"/>
        <family val="2"/>
      </rPr>
      <t>열에 입력하면 수식으로 자동 채워짐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수동입력 </t>
    </r>
    <r>
      <rPr>
        <sz val="10"/>
        <color rgb="FF000000"/>
        <rFont val="Arial"/>
        <family val="2"/>
      </rPr>
      <t xml:space="preserve">X). </t>
    </r>
    <r>
      <rPr>
        <sz val="10"/>
        <color rgb="FF000000"/>
        <rFont val="Noto Sans CJK SC"/>
        <family val="2"/>
      </rPr>
      <t>자동필터로 적용대상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블록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Arial"/>
        <family val="2"/>
      </rPr>
      <t>(●=</t>
    </r>
    <r>
      <rPr>
        <sz val="10"/>
        <color rgb="FF000000"/>
        <rFont val="Noto Sans CJK SC"/>
        <family val="2"/>
      </rPr>
      <t>입력됨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Noto Sans CJK SC"/>
        <family val="2"/>
      </rPr>
      <t>필터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상세 스펙은 각 블록 시트</t>
    </r>
    <r>
      <rPr>
        <sz val="10"/>
        <color rgb="FF000000"/>
        <rFont val="Arial"/>
        <family val="2"/>
      </rPr>
      <t>.</t>
    </r>
  </si>
  <si>
    <t>■ 대역 표기</t>
  </si>
  <si>
    <r>
      <rPr>
        <sz val="10"/>
        <color rgb="FF000000"/>
        <rFont val="Arial"/>
        <family val="2"/>
      </rPr>
      <t xml:space="preserve">Ka </t>
    </r>
    <r>
      <rPr>
        <sz val="10"/>
        <color rgb="FF000000"/>
        <rFont val="Noto Sans CJK SC"/>
        <family val="2"/>
      </rPr>
      <t>대역은 방향과 무관하게 주파수로만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저대역 </t>
    </r>
    <r>
      <rPr>
        <sz val="10"/>
        <color rgb="FF000000"/>
        <rFont val="Arial"/>
        <family val="2"/>
      </rPr>
      <t xml:space="preserve">17.7–21.2 / </t>
    </r>
    <r>
      <rPr>
        <sz val="10"/>
        <color rgb="FF000000"/>
        <rFont val="Noto Sans CJK SC"/>
        <family val="2"/>
      </rPr>
      <t xml:space="preserve">고대역 </t>
    </r>
    <r>
      <rPr>
        <sz val="10"/>
        <color rgb="FF000000"/>
        <rFont val="Arial"/>
        <family val="2"/>
      </rPr>
      <t xml:space="preserve">27.5–31) </t>
    </r>
    <r>
      <rPr>
        <sz val="10"/>
        <color rgb="FF000000"/>
        <rFont val="Noto Sans CJK SC"/>
        <family val="2"/>
      </rPr>
      <t>표기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 xml:space="preserve">방향은 </t>
    </r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기능</t>
    </r>
    <r>
      <rPr>
        <sz val="10"/>
        <color rgb="FF000000"/>
        <rFont val="Arial"/>
        <family val="2"/>
      </rPr>
      <t xml:space="preserve">(Tx/Rx)' </t>
    </r>
    <r>
      <rPr>
        <sz val="10"/>
        <color rgb="FF000000"/>
        <rFont val="Noto Sans CJK SC"/>
        <family val="2"/>
      </rPr>
      <t xml:space="preserve">행 참고 — 단말 </t>
    </r>
    <r>
      <rPr>
        <sz val="10"/>
        <color rgb="FF000000"/>
        <rFont val="Arial"/>
        <family val="2"/>
      </rPr>
      <t>Tx=</t>
    </r>
    <r>
      <rPr>
        <sz val="10"/>
        <color rgb="FF000000"/>
        <rFont val="Noto Sans CJK SC"/>
        <family val="2"/>
      </rPr>
      <t>고대역</t>
    </r>
    <r>
      <rPr>
        <sz val="10"/>
        <color rgb="FF000000"/>
        <rFont val="Arial"/>
        <family val="2"/>
      </rPr>
      <t>·Rx=</t>
    </r>
    <r>
      <rPr>
        <sz val="10"/>
        <color rgb="FF000000"/>
        <rFont val="Noto Sans CJK SC"/>
        <family val="2"/>
      </rPr>
      <t>저대역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탑재체는 반전</t>
    </r>
    <r>
      <rPr>
        <sz val="10"/>
        <color rgb="FF000000"/>
        <rFont val="Arial"/>
        <family val="2"/>
      </rPr>
      <t>.</t>
    </r>
  </si>
  <si>
    <t>■ 부가 기능</t>
  </si>
  <si>
    <r>
      <rPr>
        <sz val="10"/>
        <color rgb="FF000000"/>
        <rFont val="Arial"/>
        <family val="2"/>
      </rPr>
      <t xml:space="preserve">BFIC </t>
    </r>
    <r>
      <rPr>
        <sz val="10"/>
        <color rgb="FF000000"/>
        <rFont val="Noto Sans CJK SC"/>
        <family val="2"/>
      </rPr>
      <t xml:space="preserve">시트 맨 아래 연보라색 </t>
    </r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부가 기능</t>
    </r>
    <r>
      <rPr>
        <sz val="10"/>
        <color rgb="FF000000"/>
        <rFont val="Arial"/>
        <family val="2"/>
      </rPr>
      <t xml:space="preserve">(Feature)' </t>
    </r>
    <r>
      <rPr>
        <sz val="10"/>
        <color rgb="FF000000"/>
        <rFont val="Noto Sans CJK SC"/>
        <family val="2"/>
      </rPr>
      <t>그룹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>빔 메모리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캘리브레이션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온도센서</t>
    </r>
    <r>
      <rPr>
        <sz val="10"/>
        <color rgb="FF000000"/>
        <rFont val="Arial"/>
        <family val="2"/>
      </rPr>
      <t xml:space="preserve">·bandgap </t>
    </r>
    <r>
      <rPr>
        <sz val="10"/>
        <color rgb="FF000000"/>
        <rFont val="Noto Sans CJK SC"/>
        <family val="2"/>
      </rPr>
      <t xml:space="preserve">등 내장 기능 </t>
    </r>
    <r>
      <rPr>
        <sz val="10"/>
        <color rgb="FF000000"/>
        <rFont val="Arial"/>
        <family val="2"/>
      </rPr>
      <t xml:space="preserve">Y/N </t>
    </r>
    <r>
      <rPr>
        <sz val="10"/>
        <color rgb="FF000000"/>
        <rFont val="Noto Sans CJK SC"/>
        <family val="2"/>
      </rPr>
      <t>체크</t>
    </r>
    <r>
      <rPr>
        <sz val="10"/>
        <color rgb="FF000000"/>
        <rFont val="Arial"/>
        <family val="2"/>
      </rPr>
      <t>.</t>
    </r>
  </si>
  <si>
    <t>■ 모델 추가</t>
  </si>
  <si>
    <r>
      <rPr>
        <sz val="10"/>
        <color rgb="FF000000"/>
        <rFont val="Noto Sans CJK SC"/>
        <family val="2"/>
      </rPr>
      <t xml:space="preserve">각 구역 칩이 </t>
    </r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>개를 넘으면 해당 구역 마지막 열을 복사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삽입하여 추가</t>
    </r>
    <r>
      <rPr>
        <sz val="10"/>
        <color rgb="FF000000"/>
        <rFont val="Arial"/>
        <family val="2"/>
      </rPr>
      <t>.</t>
    </r>
  </si>
  <si>
    <t>■ 색상 범례</t>
  </si>
  <si>
    <t>파랑 헤더</t>
  </si>
  <si>
    <r>
      <rPr>
        <sz val="10"/>
        <color rgb="FF000000"/>
        <rFont val="Arial"/>
        <family val="2"/>
      </rPr>
      <t xml:space="preserve">Terminal </t>
    </r>
    <r>
      <rPr>
        <sz val="10"/>
        <color rgb="FF000000"/>
        <rFont val="Noto Sans CJK SC"/>
        <family val="2"/>
      </rPr>
      <t xml:space="preserve">용 칩 구역 </t>
    </r>
    <r>
      <rPr>
        <sz val="10"/>
        <color rgb="FF000000"/>
        <rFont val="Arial"/>
        <family val="2"/>
      </rPr>
      <t>(T-1~)</t>
    </r>
  </si>
  <si>
    <t>주황 헤더</t>
  </si>
  <si>
    <r>
      <rPr>
        <sz val="10"/>
        <color rgb="FF000000"/>
        <rFont val="Arial"/>
        <family val="2"/>
      </rPr>
      <t xml:space="preserve">Payload </t>
    </r>
    <r>
      <rPr>
        <sz val="10"/>
        <color rgb="FF000000"/>
        <rFont val="Noto Sans CJK SC"/>
        <family val="2"/>
      </rPr>
      <t xml:space="preserve">용 칩 구역 </t>
    </r>
    <r>
      <rPr>
        <sz val="10"/>
        <color rgb="FF000000"/>
        <rFont val="Arial"/>
        <family val="2"/>
      </rPr>
      <t>(P-1~)</t>
    </r>
  </si>
  <si>
    <t>연파랑 셀</t>
  </si>
  <si>
    <r>
      <rPr>
        <sz val="10"/>
        <color rgb="FF000000"/>
        <rFont val="Arial"/>
        <family val="2"/>
      </rPr>
      <t xml:space="preserve">Terminal </t>
    </r>
    <r>
      <rPr>
        <sz val="10"/>
        <color rgb="FF000000"/>
        <rFont val="Noto Sans CJK SC"/>
        <family val="2"/>
      </rPr>
      <t>칩 값 입력 셀</t>
    </r>
  </si>
  <si>
    <t>연주황 셀</t>
  </si>
  <si>
    <r>
      <rPr>
        <sz val="10"/>
        <color rgb="FF000000"/>
        <rFont val="Arial"/>
        <family val="2"/>
      </rPr>
      <t xml:space="preserve">Payload </t>
    </r>
    <r>
      <rPr>
        <sz val="10"/>
        <color rgb="FF000000"/>
        <rFont val="Noto Sans CJK SC"/>
        <family val="2"/>
      </rPr>
      <t>칩 값 입력 셀</t>
    </r>
  </si>
  <si>
    <t>연두색</t>
  </si>
  <si>
    <r>
      <rPr>
        <sz val="10"/>
        <color rgb="FF000000"/>
        <rFont val="Noto Sans CJK SC"/>
        <family val="2"/>
      </rPr>
      <t>예시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형식 참고용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Noto Sans CJK SC"/>
        <family val="2"/>
      </rPr>
      <t>열 — 실제 데이터 아님</t>
    </r>
  </si>
  <si>
    <t>연파랑</t>
  </si>
  <si>
    <r>
      <rPr>
        <sz val="10"/>
        <color rgb="FF000000"/>
        <rFont val="Noto Sans CJK SC"/>
        <family val="2"/>
      </rPr>
      <t>지표 그룹 구분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왼쪽</t>
    </r>
    <r>
      <rPr>
        <sz val="10"/>
        <color rgb="FF000000"/>
        <rFont val="Arial"/>
        <family val="2"/>
      </rPr>
      <t>)</t>
    </r>
  </si>
  <si>
    <t>연보라</t>
  </si>
  <si>
    <r>
      <rPr>
        <sz val="10"/>
        <color rgb="FF000000"/>
        <rFont val="Noto Sans CJK SC"/>
        <family val="2"/>
      </rPr>
      <t>부가 기능</t>
    </r>
    <r>
      <rPr>
        <sz val="10"/>
        <color rgb="FF000000"/>
        <rFont val="Arial"/>
        <family val="2"/>
      </rPr>
      <t xml:space="preserve">(Feature) </t>
    </r>
    <r>
      <rPr>
        <sz val="10"/>
        <color rgb="FF000000"/>
        <rFont val="Noto Sans CJK SC"/>
        <family val="2"/>
      </rPr>
      <t>그룹</t>
    </r>
  </si>
  <si>
    <r>
      <rPr>
        <sz val="9"/>
        <color rgb="FF555555"/>
        <rFont val="Noto Sans CJK SC"/>
        <family val="2"/>
      </rPr>
      <t>작성</t>
    </r>
    <r>
      <rPr>
        <sz val="9"/>
        <color rgb="FF555555"/>
        <rFont val="Arial"/>
        <family val="2"/>
      </rPr>
      <t xml:space="preserve">: SOLiD 6G Wave Lab   |   </t>
    </r>
    <r>
      <rPr>
        <sz val="9"/>
        <color rgb="FF555555"/>
        <rFont val="Noto Sans CJK SC"/>
        <family val="2"/>
      </rPr>
      <t xml:space="preserve">초안 </t>
    </r>
    <r>
      <rPr>
        <sz val="9"/>
        <color rgb="FF555555"/>
        <rFont val="Arial"/>
        <family val="2"/>
      </rPr>
      <t xml:space="preserve">(datasheet </t>
    </r>
    <r>
      <rPr>
        <sz val="9"/>
        <color rgb="FF555555"/>
        <rFont val="Noto Sans CJK SC"/>
        <family val="2"/>
      </rPr>
      <t>입력 전</t>
    </r>
    <r>
      <rPr>
        <sz val="9"/>
        <color rgb="FF555555"/>
        <rFont val="Arial"/>
        <family val="2"/>
      </rPr>
      <t>)</t>
    </r>
  </si>
  <si>
    <r>
      <rPr>
        <b/>
        <sz val="14"/>
        <color rgb="FFFFFFFF"/>
        <rFont val="Arial"/>
        <family val="2"/>
      </rPr>
      <t xml:space="preserve">Overview — </t>
    </r>
    <r>
      <rPr>
        <b/>
        <sz val="14"/>
        <color rgb="FFFFFFFF"/>
        <rFont val="Noto Sans CJK SC"/>
        <family val="2"/>
      </rPr>
      <t xml:space="preserve">전체 칩 요약 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Noto Sans CJK SC"/>
        <family val="2"/>
      </rPr>
      <t>각 블록 시트와 자동연결</t>
    </r>
    <r>
      <rPr>
        <b/>
        <sz val="14"/>
        <color rgb="FFFFFFFF"/>
        <rFont val="Arial"/>
        <family val="2"/>
      </rPr>
      <t>)</t>
    </r>
  </si>
  <si>
    <r>
      <rPr>
        <sz val="9"/>
        <color rgb="FF555555"/>
        <rFont val="Noto Sans CJK SC"/>
        <family val="2"/>
      </rPr>
      <t>각 블록 시트의 모델 열에 값을 입력하면 자동으로 채워집니다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>수식 연결</t>
    </r>
    <r>
      <rPr>
        <sz val="9"/>
        <color rgb="FF555555"/>
        <rFont val="Arial"/>
        <family val="2"/>
      </rPr>
      <t>). BFIC·FEM</t>
    </r>
    <r>
      <rPr>
        <sz val="9"/>
        <color rgb="FF555555"/>
        <rFont val="Noto Sans CJK SC"/>
        <family val="2"/>
      </rPr>
      <t xml:space="preserve">은 </t>
    </r>
    <r>
      <rPr>
        <sz val="9"/>
        <color rgb="FF555555"/>
        <rFont val="Arial"/>
        <family val="2"/>
      </rPr>
      <t xml:space="preserve">T/P </t>
    </r>
    <r>
      <rPr>
        <sz val="9"/>
        <color rgb="FF555555"/>
        <rFont val="Noto Sans CJK SC"/>
        <family val="2"/>
      </rPr>
      <t>구분</t>
    </r>
    <r>
      <rPr>
        <sz val="9"/>
        <color rgb="FF555555"/>
        <rFont val="Arial"/>
        <family val="2"/>
      </rPr>
      <t>, Converter·PLL·ADC/DAC</t>
    </r>
    <r>
      <rPr>
        <sz val="9"/>
        <color rgb="FF555555"/>
        <rFont val="Noto Sans CJK SC"/>
        <family val="2"/>
      </rPr>
      <t>는 공용</t>
    </r>
    <r>
      <rPr>
        <sz val="9"/>
        <color rgb="FF555555"/>
        <rFont val="Arial"/>
        <family val="2"/>
      </rPr>
      <t xml:space="preserve">(M). </t>
    </r>
    <r>
      <rPr>
        <sz val="9"/>
        <color rgb="FF555555"/>
        <rFont val="Noto Sans CJK SC"/>
        <family val="2"/>
      </rPr>
      <t>헤더 필터로 적용대상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블록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상태</t>
    </r>
    <r>
      <rPr>
        <sz val="9"/>
        <color rgb="FF555555"/>
        <rFont val="Arial"/>
        <family val="2"/>
      </rPr>
      <t xml:space="preserve">(●) </t>
    </r>
    <r>
      <rPr>
        <sz val="9"/>
        <color rgb="FF555555"/>
        <rFont val="Noto Sans CJK SC"/>
        <family val="2"/>
      </rPr>
      <t>필터</t>
    </r>
    <r>
      <rPr>
        <sz val="9"/>
        <color rgb="FF555555"/>
        <rFont val="Arial"/>
        <family val="2"/>
      </rPr>
      <t>.</t>
    </r>
  </si>
  <si>
    <t>블록</t>
  </si>
  <si>
    <t>슬롯</t>
  </si>
  <si>
    <t>적용 대상</t>
  </si>
  <si>
    <t>부품번호</t>
  </si>
  <si>
    <t>제조사</t>
  </si>
  <si>
    <t>기능</t>
  </si>
  <si>
    <t>주파수 범위</t>
  </si>
  <si>
    <t>채널 수</t>
  </si>
  <si>
    <t>빔 수</t>
  </si>
  <si>
    <t>상태</t>
  </si>
  <si>
    <t>BFIC</t>
  </si>
  <si>
    <t>T-1</t>
  </si>
  <si>
    <t>Terminal</t>
  </si>
  <si>
    <t>T-2</t>
  </si>
  <si>
    <t>T-3</t>
  </si>
  <si>
    <t>T-4</t>
  </si>
  <si>
    <t>T-5</t>
  </si>
  <si>
    <t>T-6</t>
  </si>
  <si>
    <t>T-7</t>
  </si>
  <si>
    <t>T-8</t>
  </si>
  <si>
    <t>P-1</t>
  </si>
  <si>
    <t>Payload</t>
  </si>
  <si>
    <t>P-2</t>
  </si>
  <si>
    <t>P-3</t>
  </si>
  <si>
    <t>P-4</t>
  </si>
  <si>
    <t>P-5</t>
  </si>
  <si>
    <t>P-6</t>
  </si>
  <si>
    <t>P-7</t>
  </si>
  <si>
    <t>P-8</t>
  </si>
  <si>
    <t>FEM</t>
  </si>
  <si>
    <t>Converter/Mixer</t>
  </si>
  <si>
    <t>M-1</t>
  </si>
  <si>
    <t>공용</t>
  </si>
  <si>
    <t>M-2</t>
  </si>
  <si>
    <t>M-3</t>
  </si>
  <si>
    <t>M-4</t>
  </si>
  <si>
    <t>M-5</t>
  </si>
  <si>
    <t>M-6</t>
  </si>
  <si>
    <t>PLL/Synth</t>
  </si>
  <si>
    <t>ADC/DAC</t>
  </si>
  <si>
    <r>
      <rPr>
        <b/>
        <sz val="14"/>
        <color rgb="FFFFFFFF"/>
        <rFont val="Arial"/>
        <family val="2"/>
      </rPr>
      <t xml:space="preserve">Beamformer (BFIC) </t>
    </r>
    <r>
      <rPr>
        <b/>
        <sz val="14"/>
        <color rgb="FFFFFFFF"/>
        <rFont val="Noto Sans CJK SC"/>
        <family val="2"/>
      </rPr>
      <t xml:space="preserve">비교표 — </t>
    </r>
    <r>
      <rPr>
        <b/>
        <sz val="14"/>
        <color rgb="FFFFFFFF"/>
        <rFont val="Arial"/>
        <family val="2"/>
      </rPr>
      <t>Ka-band Terminal / Payload</t>
    </r>
  </si>
  <si>
    <r>
      <rPr>
        <b/>
        <sz val="10"/>
        <color rgb="FFFFFFFF"/>
        <rFont val="Arial"/>
        <family val="2"/>
      </rPr>
      <t xml:space="preserve">▮ Terminal </t>
    </r>
    <r>
      <rPr>
        <b/>
        <sz val="10"/>
        <color rgb="FFFFFFFF"/>
        <rFont val="Noto Sans CJK SC"/>
        <family val="2"/>
      </rPr>
      <t>용</t>
    </r>
  </si>
  <si>
    <r>
      <rPr>
        <b/>
        <sz val="10"/>
        <color rgb="FFFFFFFF"/>
        <rFont val="Arial"/>
        <family val="2"/>
      </rPr>
      <t xml:space="preserve">▮ Payload </t>
    </r>
    <r>
      <rPr>
        <b/>
        <sz val="10"/>
        <color rgb="FFFFFFFF"/>
        <rFont val="Noto Sans CJK SC"/>
        <family val="2"/>
      </rPr>
      <t>용</t>
    </r>
  </si>
  <si>
    <t>구분</t>
  </si>
  <si>
    <r>
      <rPr>
        <b/>
        <sz val="10"/>
        <color rgb="FFFFFFFF"/>
        <rFont val="Noto Sans CJK SC"/>
        <family val="2"/>
      </rPr>
      <t xml:space="preserve">항목 </t>
    </r>
    <r>
      <rPr>
        <b/>
        <sz val="10"/>
        <color rgb="FFFFFFFF"/>
        <rFont val="Arial"/>
        <family val="2"/>
      </rPr>
      <t>(Parameter)</t>
    </r>
  </si>
  <si>
    <t>단위</t>
  </si>
  <si>
    <r>
      <rPr>
        <b/>
        <sz val="10"/>
        <color rgb="FFFFFFFF"/>
        <rFont val="Noto Sans CJK SC"/>
        <family val="2"/>
      </rPr>
      <t xml:space="preserve">예시 </t>
    </r>
    <r>
      <rPr>
        <b/>
        <sz val="10"/>
        <color rgb="FFFFFFFF"/>
        <rFont val="Arial"/>
        <family val="2"/>
      </rPr>
      <t>(Example)</t>
    </r>
  </si>
  <si>
    <t>General</t>
  </si>
  <si>
    <t>Manufacturer</t>
  </si>
  <si>
    <t>Anokiwave</t>
  </si>
  <si>
    <t>Renesas</t>
  </si>
  <si>
    <t>Axiro Semi.</t>
  </si>
  <si>
    <t>Sivers</t>
  </si>
  <si>
    <t>tiarto</t>
  </si>
  <si>
    <t>Analog Devices</t>
  </si>
  <si>
    <t>Part No.</t>
  </si>
  <si>
    <t>AWMF-0xxx</t>
  </si>
  <si>
    <t>F6522</t>
  </si>
  <si>
    <t>F6122</t>
  </si>
  <si>
    <t>F6222</t>
  </si>
  <si>
    <t>Blueway1721</t>
  </si>
  <si>
    <t>Stampede2731 (LP)</t>
  </si>
  <si>
    <t>Stampede2731 (HP)</t>
  </si>
  <si>
    <t>BONITO TX-M</t>
  </si>
  <si>
    <t>BONITO RX</t>
  </si>
  <si>
    <t>ADAR3002</t>
  </si>
  <si>
    <t>ADAR3003</t>
  </si>
  <si>
    <t>Application (Terminal / Payload)</t>
  </si>
  <si>
    <r>
      <rPr>
        <i/>
        <sz val="9"/>
        <color rgb="FF555555"/>
        <rFont val="Arial"/>
        <family val="2"/>
      </rPr>
      <t xml:space="preserve">T / P / </t>
    </r>
    <r>
      <rPr>
        <i/>
        <sz val="9"/>
        <color rgb="FF555555"/>
        <rFont val="Noto Sans CJK SC"/>
        <family val="2"/>
      </rPr>
      <t>공용</t>
    </r>
  </si>
  <si>
    <t>Function (Tx / Rx / TRx)</t>
  </si>
  <si>
    <t>TRx (Half-duplex)</t>
  </si>
  <si>
    <t>Tx</t>
  </si>
  <si>
    <t>Rx</t>
  </si>
  <si>
    <t>Process (SiGe / CMOS / GaAs)</t>
  </si>
  <si>
    <t>SiGe BiCMOS</t>
  </si>
  <si>
    <t>—</t>
  </si>
  <si>
    <t>45nm RFSOI CMOS</t>
  </si>
  <si>
    <t>— (GF)</t>
  </si>
  <si>
    <t>Frequency / Channels</t>
  </si>
  <si>
    <t>Operating Frequency Range</t>
  </si>
  <si>
    <t>GHz</t>
  </si>
  <si>
    <t>27.5 – 31.0</t>
  </si>
  <si>
    <t>17.7 – 21.2</t>
  </si>
  <si>
    <t>27 – 31</t>
  </si>
  <si>
    <t>Ka Low-band (17.7–21.2 GHz) Support</t>
  </si>
  <si>
    <t>Y/N</t>
  </si>
  <si>
    <t>N</t>
  </si>
  <si>
    <t>Y</t>
  </si>
  <si>
    <t>Ka High-band (27.5–31 GHz) Support</t>
  </si>
  <si>
    <t>Number of Channels (elements)</t>
  </si>
  <si>
    <t>ch</t>
  </si>
  <si>
    <t>16</t>
  </si>
  <si>
    <t>8</t>
  </si>
  <si>
    <t>16 (8/beam)</t>
  </si>
  <si>
    <t>8 (4 dual-pol)</t>
  </si>
  <si>
    <t>8 elem (16 VAP)</t>
  </si>
  <si>
    <t>8 VAP</t>
  </si>
  <si>
    <t>Number of Beams</t>
  </si>
  <si>
    <t>beam</t>
  </si>
  <si>
    <t>1 (single-beam)</t>
  </si>
  <si>
    <t>1</t>
  </si>
  <si>
    <t>2</t>
  </si>
  <si>
    <t>Polarization (Single / Dual-pol)</t>
  </si>
  <si>
    <t>Dual-pol</t>
  </si>
  <si>
    <t>Phase / Gain Control</t>
  </si>
  <si>
    <t>Phase Control Resolution</t>
  </si>
  <si>
    <t>bit</t>
  </si>
  <si>
    <t>6</t>
  </si>
  <si>
    <t>6 (5.625°)</t>
  </si>
  <si>
    <t>Phase Control Range</t>
  </si>
  <si>
    <t>deg</t>
  </si>
  <si>
    <t>360</t>
  </si>
  <si>
    <t>RMS Phase Error</t>
  </si>
  <si>
    <t>≤ 3</t>
  </si>
  <si>
    <t>1.4</t>
  </si>
  <si>
    <t>2.5</t>
  </si>
  <si>
    <t>2.8</t>
  </si>
  <si>
    <t>2.3</t>
  </si>
  <si>
    <t>4.7</t>
  </si>
  <si>
    <t>Gain Control Range</t>
  </si>
  <si>
    <t>dB</t>
  </si>
  <si>
    <t>31</t>
  </si>
  <si>
    <t>25 (3–28)</t>
  </si>
  <si>
    <t>28.4</t>
  </si>
  <si>
    <t>28.4 (1.6–30)</t>
  </si>
  <si>
    <t>32 (path)</t>
  </si>
  <si>
    <t>20</t>
  </si>
  <si>
    <t>≥31.5</t>
  </si>
  <si>
    <t>Gain Control Resolution</t>
  </si>
  <si>
    <t>0.2 dB step</t>
  </si>
  <si>
    <t>6 (0.45dB)</t>
  </si>
  <si>
    <t>0.5dB LSB</t>
  </si>
  <si>
    <t>6 (0.5dB)</t>
  </si>
  <si>
    <t>RMS Gain Error</t>
  </si>
  <si>
    <t>≤ 0.5</t>
  </si>
  <si>
    <t>0.25</t>
  </si>
  <si>
    <t>0.16</t>
  </si>
  <si>
    <t>0.18</t>
  </si>
  <si>
    <t>0.5</t>
  </si>
  <si>
    <t>0.2</t>
  </si>
  <si>
    <t>0.98</t>
  </si>
  <si>
    <t>RF Performance (Common)</t>
  </si>
  <si>
    <t>Gain (single channel)</t>
  </si>
  <si>
    <t>≈ 12</t>
  </si>
  <si>
    <t>28 (max)</t>
  </si>
  <si>
    <t>30 (Gmax)</t>
  </si>
  <si>
    <t>18</t>
  </si>
  <si>
    <t>28</t>
  </si>
  <si>
    <t>25 (nominal)</t>
  </si>
  <si>
    <t>7.1</t>
  </si>
  <si>
    <t>22.7</t>
  </si>
  <si>
    <t>Gain (all channels)</t>
  </si>
  <si>
    <r>
      <rPr>
        <sz val="10"/>
        <color rgb="FF000000"/>
        <rFont val="Arial"/>
        <family val="2"/>
      </rPr>
      <t>8.3 (</t>
    </r>
    <r>
      <rPr>
        <sz val="10"/>
        <color rgb="FF000000"/>
        <rFont val="Noto Sans CJK SC"/>
        <family val="2"/>
      </rPr>
      <t>전자이득</t>
    </r>
    <r>
      <rPr>
        <sz val="10"/>
        <color rgb="FF000000"/>
        <rFont val="Arial"/>
        <family val="2"/>
      </rPr>
      <t>)</t>
    </r>
  </si>
  <si>
    <t>36</t>
  </si>
  <si>
    <r>
      <rPr>
        <sz val="10"/>
        <color rgb="FF000000"/>
        <rFont val="Arial"/>
        <family val="2"/>
      </rPr>
      <t>14 (2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</si>
  <si>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22 (2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</si>
  <si>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t>25.1 (coherent)</t>
  </si>
  <si>
    <t>Channel-to-Channel Isolation</t>
  </si>
  <si>
    <t>≥ 25</t>
  </si>
  <si>
    <t>35</t>
  </si>
  <si>
    <t>40</t>
  </si>
  <si>
    <r>
      <rPr>
        <sz val="10"/>
        <color rgb="FF000000"/>
        <rFont val="Arial"/>
        <family val="2"/>
      </rPr>
      <t>37 (</t>
    </r>
    <r>
      <rPr>
        <sz val="10"/>
        <color rgb="FF000000"/>
        <rFont val="Noto Sans CJK SC"/>
        <family val="2"/>
      </rPr>
      <t>인접</t>
    </r>
    <r>
      <rPr>
        <sz val="10"/>
        <color rgb="FF000000"/>
        <rFont val="Arial"/>
        <family val="2"/>
      </rPr>
      <t>)</t>
    </r>
  </si>
  <si>
    <t>30</t>
  </si>
  <si>
    <t>elem &lt;-50 / beam 40.9</t>
  </si>
  <si>
    <t>&lt;-30.7 (elem V-H)</t>
  </si>
  <si>
    <t>Channel Bandwidth</t>
  </si>
  <si>
    <t>3.5</t>
  </si>
  <si>
    <t>4</t>
  </si>
  <si>
    <t>Input Return loss (S11)</t>
  </si>
  <si>
    <t>≥ 10</t>
  </si>
  <si>
    <t>15</t>
  </si>
  <si>
    <t>11</t>
  </si>
  <si>
    <t>10</t>
  </si>
  <si>
    <t>10.5</t>
  </si>
  <si>
    <t>21.6</t>
  </si>
  <si>
    <t>Output Return loss (S22)</t>
  </si>
  <si>
    <t>12</t>
  </si>
  <si>
    <t>7</t>
  </si>
  <si>
    <t>5</t>
  </si>
  <si>
    <t>10.6</t>
  </si>
  <si>
    <t>11.7</t>
  </si>
  <si>
    <t>RF Performance (Tx)</t>
  </si>
  <si>
    <t>Output P1dB (OP1dB)</t>
  </si>
  <si>
    <t>dBm</t>
  </si>
  <si>
    <t>13</t>
  </si>
  <si>
    <t>21</t>
  </si>
  <si>
    <t>12.1</t>
  </si>
  <si>
    <t>Psat per Channel</t>
  </si>
  <si>
    <t>≈ 14</t>
  </si>
  <si>
    <t>14</t>
  </si>
  <si>
    <t>24</t>
  </si>
  <si>
    <t>14.5</t>
  </si>
  <si>
    <t>OIP3</t>
  </si>
  <si>
    <t>≈ 22</t>
  </si>
  <si>
    <t>TBD</t>
  </si>
  <si>
    <t>19.5</t>
  </si>
  <si>
    <t>29</t>
  </si>
  <si>
    <t>20.2</t>
  </si>
  <si>
    <t>Tx Efficiency (PAE)</t>
  </si>
  <si>
    <t>%</t>
  </si>
  <si>
    <t>≈20 (@21dBm)</t>
  </si>
  <si>
    <t>27 (@P1dB)</t>
  </si>
  <si>
    <t>EVM (per modulation)</t>
  </si>
  <si>
    <t>3 (64QAM)</t>
  </si>
  <si>
    <t>— (test in-prep)</t>
  </si>
  <si>
    <t>RF Performance (Rx)</t>
  </si>
  <si>
    <t>Noise Figure (NF)</t>
  </si>
  <si>
    <t>≈ 4.5</t>
  </si>
  <si>
    <t>5.4</t>
  </si>
  <si>
    <t>1.3 (25°C)</t>
  </si>
  <si>
    <t>1.8 (max gain)</t>
  </si>
  <si>
    <t>2.0 (coherent)</t>
  </si>
  <si>
    <t>Input P1dB (IP1dB)</t>
  </si>
  <si>
    <t>-30</t>
  </si>
  <si>
    <t>-52</t>
  </si>
  <si>
    <t>-33</t>
  </si>
  <si>
    <t>-34.7 (max gain)</t>
  </si>
  <si>
    <t>-29.4</t>
  </si>
  <si>
    <t>IIP3</t>
  </si>
  <si>
    <t>-23</t>
  </si>
  <si>
    <t>-42</t>
  </si>
  <si>
    <t>-24</t>
  </si>
  <si>
    <t>-21.6</t>
  </si>
  <si>
    <t>Interface / Power</t>
  </si>
  <si>
    <t>Control Interface</t>
  </si>
  <si>
    <t>SPI</t>
  </si>
  <si>
    <t>SPI 4-wire, 50MHz</t>
  </si>
  <si>
    <t>SPI (≤100MHz)</t>
  </si>
  <si>
    <t>SPI (5-bit addr)</t>
  </si>
  <si>
    <t>SPI 3/4-wire (≤16dev)</t>
  </si>
  <si>
    <t>SPI 3/4-wire, 50MHz</t>
  </si>
  <si>
    <t>Supply Voltage</t>
  </si>
  <si>
    <t>V</t>
  </si>
  <si>
    <t>1.8 / 3.3</t>
  </si>
  <si>
    <t>2.3 (2.1–2.5)</t>
  </si>
  <si>
    <t>2.3 / 1.2 (LNA)</t>
  </si>
  <si>
    <t>1.0 / 1.5 / 1.8</t>
  </si>
  <si>
    <t>1.0 / 1.8</t>
  </si>
  <si>
    <t>1.0 / 1.8 / 4.0</t>
  </si>
  <si>
    <t>1.2 / 1.8</t>
  </si>
  <si>
    <t>1.6 / 1.8</t>
  </si>
  <si>
    <t>DC Power per Channel (@P1dB for Tx)</t>
  </si>
  <si>
    <t>mW</t>
  </si>
  <si>
    <t>112.5 (@P1dB)</t>
  </si>
  <si>
    <r>
      <rPr>
        <sz val="10"/>
        <color rgb="FF000000"/>
        <rFont val="Arial"/>
        <family val="2"/>
      </rPr>
      <t>27.3 (2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</si>
  <si>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35 (2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</si>
  <si>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t>75</t>
  </si>
  <si>
    <t>650 (@21dBm)</t>
  </si>
  <si>
    <t>420 (@P1dB)</t>
  </si>
  <si>
    <t>44.5</t>
  </si>
  <si>
    <t>Total DC Power</t>
  </si>
  <si>
    <t>mW / W</t>
  </si>
  <si>
    <t>900 (@P1dB)</t>
  </si>
  <si>
    <r>
      <rPr>
        <sz val="10"/>
        <color rgb="FF000000"/>
        <rFont val="Arial"/>
        <family val="2"/>
      </rPr>
      <t>437 (2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</si>
  <si>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556 (2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</si>
  <si>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700 (8ch 2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</si>
  <si>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1150 (8ch 2</t>
    </r>
    <r>
      <rPr>
        <sz val="10"/>
        <color rgb="FF000000"/>
        <rFont val="Noto Sans CJK SC"/>
        <family val="2"/>
      </rPr>
      <t xml:space="preserve">빔 </t>
    </r>
    <r>
      <rPr>
        <sz val="10"/>
        <color rgb="FF000000"/>
        <rFont val="Arial"/>
        <family val="2"/>
      </rPr>
      <t>@13dBm)</t>
    </r>
  </si>
  <si>
    <r>
      <rPr>
        <sz val="10"/>
        <color rgb="FF000000"/>
        <rFont val="Arial"/>
        <family val="2"/>
      </rPr>
      <t>6500 (8ch 2</t>
    </r>
    <r>
      <rPr>
        <sz val="10"/>
        <color rgb="FF000000"/>
        <rFont val="Noto Sans CJK SC"/>
        <family val="2"/>
      </rPr>
      <t xml:space="preserve">빔 </t>
    </r>
    <r>
      <rPr>
        <sz val="10"/>
        <color rgb="FF000000"/>
        <rFont val="Arial"/>
        <family val="2"/>
      </rPr>
      <t>@21dBm)</t>
    </r>
  </si>
  <si>
    <t>1.7W@P1dB / 1.0W@5dBBO</t>
  </si>
  <si>
    <t>356</t>
  </si>
  <si>
    <t>398.5</t>
  </si>
  <si>
    <t>710 (nom) / 1.01W @OP1dB</t>
  </si>
  <si>
    <t>Power Consumption (Standby)</t>
  </si>
  <si>
    <t>6.2</t>
  </si>
  <si>
    <t>0.05</t>
  </si>
  <si>
    <t>50</t>
  </si>
  <si>
    <t>Quiescent Power (RF off)</t>
  </si>
  <si>
    <t>560 (70/ch)</t>
  </si>
  <si>
    <r>
      <rPr>
        <sz val="10"/>
        <color rgb="FF000000"/>
        <rFont val="Arial"/>
        <family val="2"/>
      </rPr>
      <t>258 (1</t>
    </r>
    <r>
      <rPr>
        <sz val="10"/>
        <color rgb="FF000000"/>
        <rFont val="Noto Sans CJK SC"/>
        <family val="2"/>
      </rPr>
      <t>빔</t>
    </r>
    <r>
      <rPr>
        <sz val="10"/>
        <color rgb="FF000000"/>
        <rFont val="Arial"/>
        <family val="2"/>
      </rPr>
      <t>)</t>
    </r>
  </si>
  <si>
    <t>571–805</t>
  </si>
  <si>
    <t>Package</t>
  </si>
  <si>
    <t>Flip-chip / QFN</t>
  </si>
  <si>
    <t>62-pin FC-BGA</t>
  </si>
  <si>
    <t>63-ball FCCSP</t>
  </si>
  <si>
    <t>165-FCCSP</t>
  </si>
  <si>
    <t>92-bump WLCSP</t>
  </si>
  <si>
    <t>fCBGA (0.4mm pitch)</t>
  </si>
  <si>
    <t>176-ball WLCSP</t>
  </si>
  <si>
    <t>128-ball WLCSP</t>
  </si>
  <si>
    <t>Package Size</t>
  </si>
  <si>
    <t>mm</t>
  </si>
  <si>
    <t>3.8×4.6×0.9</t>
  </si>
  <si>
    <t>4.6×3.8×0.9</t>
  </si>
  <si>
    <t>7.6×7.6×0.9</t>
  </si>
  <si>
    <t>5.2×5.2</t>
  </si>
  <si>
    <t>6.6×6.6</t>
  </si>
  <si>
    <t>5×5</t>
  </si>
  <si>
    <t>Operating Temperature</t>
  </si>
  <si>
    <t>°C</t>
  </si>
  <si>
    <t>-40 ~ +85</t>
  </si>
  <si>
    <t>—(Tj 120)</t>
  </si>
  <si>
    <t>Feature</t>
  </si>
  <si>
    <t>Beam book / Beam-state Memory</t>
  </si>
  <si>
    <t>Y/N (#states)</t>
  </si>
  <si>
    <t>Y (128)</t>
  </si>
  <si>
    <t>Y (1024)</t>
  </si>
  <si>
    <t>Y (SRAM)</t>
  </si>
  <si>
    <t>Y (256 RAM+FIFO)</t>
  </si>
  <si>
    <t>Y (128 RAM+FIFO)</t>
  </si>
  <si>
    <t>Beam Switching / Update Time</t>
  </si>
  <si>
    <t>ns</t>
  </si>
  <si>
    <t>&lt; 50</t>
  </si>
  <si>
    <t>&lt; 50 ns</t>
  </si>
  <si>
    <t>50 ns</t>
  </si>
  <si>
    <t>6–8 ns (VAP)</t>
  </si>
  <si>
    <t>~4–6 ns (VAP)</t>
  </si>
  <si>
    <t>On-chip Calibration (phase/gain)</t>
  </si>
  <si>
    <r>
      <rPr>
        <sz val="10"/>
        <color rgb="FF000000"/>
        <rFont val="Arial"/>
        <family val="2"/>
      </rPr>
      <t>Y (</t>
    </r>
    <r>
      <rPr>
        <sz val="10"/>
        <color rgb="FF000000"/>
        <rFont val="Noto Sans CJK SC"/>
        <family val="2"/>
      </rPr>
      <t xml:space="preserve">온도 </t>
    </r>
    <r>
      <rPr>
        <sz val="10"/>
        <color rgb="FF000000"/>
        <rFont val="Arial"/>
        <family val="2"/>
      </rPr>
      <t>1pt)</t>
    </r>
  </si>
  <si>
    <r>
      <rPr>
        <sz val="10"/>
        <color rgb="FF000000"/>
        <rFont val="Arial"/>
        <family val="2"/>
      </rPr>
      <t xml:space="preserve">Y (SRAM </t>
    </r>
    <r>
      <rPr>
        <sz val="10"/>
        <color rgb="FF000000"/>
        <rFont val="Noto Sans CJK SC"/>
        <family val="2"/>
      </rPr>
      <t>설정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</si>
  <si>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Y (</t>
    </r>
    <r>
      <rPr>
        <sz val="10"/>
        <color rgb="FF000000"/>
        <rFont val="Noto Sans CJK SC"/>
        <family val="2"/>
      </rPr>
      <t>온도</t>
    </r>
    <r>
      <rPr>
        <sz val="10"/>
        <color rgb="FF000000"/>
        <rFont val="Arial"/>
        <family val="2"/>
      </rPr>
      <t>)</t>
    </r>
  </si>
  <si>
    <t>Temperature Sensor (built-in)</t>
  </si>
  <si>
    <r>
      <rPr>
        <sz val="10"/>
        <color rgb="FF000000"/>
        <rFont val="Arial"/>
        <family val="2"/>
      </rPr>
      <t>Y (2</t>
    </r>
    <r>
      <rPr>
        <sz val="10"/>
        <color rgb="FF000000"/>
        <rFont val="Noto Sans CJK SC"/>
        <family val="2"/>
      </rPr>
      <t>개</t>
    </r>
    <r>
      <rPr>
        <sz val="10"/>
        <color rgb="FF000000"/>
        <rFont val="Arial"/>
        <family val="2"/>
      </rPr>
      <t>)</t>
    </r>
  </si>
  <si>
    <t>Bandgap Reference (built-in)</t>
  </si>
  <si>
    <t>Built-in Sequencer (beam sequencing)</t>
  </si>
  <si>
    <t>Y (FBS)</t>
  </si>
  <si>
    <t>Built-in Power Detector</t>
  </si>
  <si>
    <t>Y (7–24dBm)</t>
  </si>
  <si>
    <t>Y (-5~24dBm)</t>
  </si>
  <si>
    <t>Y (18dB)</t>
  </si>
  <si>
    <r>
      <rPr>
        <b/>
        <sz val="14"/>
        <color rgb="FFFFFFFF"/>
        <rFont val="Arial"/>
        <family val="2"/>
      </rPr>
      <t xml:space="preserve">FEM (PA · LNA · T/R Switch) </t>
    </r>
    <r>
      <rPr>
        <b/>
        <sz val="14"/>
        <color rgb="FFFFFFFF"/>
        <rFont val="Noto Sans CJK SC"/>
        <family val="2"/>
      </rPr>
      <t xml:space="preserve">비교표 — </t>
    </r>
    <r>
      <rPr>
        <b/>
        <sz val="14"/>
        <color rgb="FFFFFFFF"/>
        <rFont val="Arial"/>
        <family val="2"/>
      </rPr>
      <t>Ka-band Terminal / Payload</t>
    </r>
  </si>
  <si>
    <r>
      <rPr>
        <sz val="9"/>
        <color rgb="FF555555"/>
        <rFont val="Noto Sans CJK SC"/>
        <family val="2"/>
      </rPr>
      <t>프론트엔드 모듈</t>
    </r>
    <r>
      <rPr>
        <sz val="9"/>
        <color rgb="FF555555"/>
        <rFont val="Arial"/>
        <family val="2"/>
      </rPr>
      <t>. PA/LNA/</t>
    </r>
    <r>
      <rPr>
        <sz val="9"/>
        <color rgb="FF555555"/>
        <rFont val="Noto Sans CJK SC"/>
        <family val="2"/>
      </rPr>
      <t>스위치 각 성능 지표</t>
    </r>
    <r>
      <rPr>
        <sz val="9"/>
        <color rgb="FF555555"/>
        <rFont val="Arial"/>
        <family val="2"/>
      </rPr>
      <t xml:space="preserve">. </t>
    </r>
    <r>
      <rPr>
        <sz val="9"/>
        <color rgb="FF555555"/>
        <rFont val="Noto Sans CJK SC"/>
        <family val="2"/>
      </rPr>
      <t xml:space="preserve">통합 </t>
    </r>
    <r>
      <rPr>
        <sz val="9"/>
        <color rgb="FF555555"/>
        <rFont val="Arial"/>
        <family val="2"/>
      </rPr>
      <t>FEM</t>
    </r>
    <r>
      <rPr>
        <sz val="9"/>
        <color rgb="FF555555"/>
        <rFont val="Noto Sans CJK SC"/>
        <family val="2"/>
      </rPr>
      <t>이면 해당 항목만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 xml:space="preserve">개별 소자면 별도 </t>
    </r>
    <r>
      <rPr>
        <sz val="9"/>
        <color rgb="FF555555"/>
        <rFont val="Arial"/>
        <family val="2"/>
      </rPr>
      <t xml:space="preserve">Model </t>
    </r>
    <r>
      <rPr>
        <sz val="9"/>
        <color rgb="FF555555"/>
        <rFont val="Noto Sans CJK SC"/>
        <family val="2"/>
      </rPr>
      <t>열로</t>
    </r>
    <r>
      <rPr>
        <sz val="9"/>
        <color rgb="FF555555"/>
        <rFont val="Arial"/>
        <family val="2"/>
      </rPr>
      <t>.</t>
    </r>
  </si>
  <si>
    <t>Qorvo</t>
  </si>
  <si>
    <t>QPFxxxx</t>
  </si>
  <si>
    <r>
      <rPr>
        <i/>
        <sz val="10"/>
        <color rgb="FF1F6E43"/>
        <rFont val="Arial"/>
        <family val="2"/>
      </rPr>
      <t>P(</t>
    </r>
    <r>
      <rPr>
        <i/>
        <sz val="10"/>
        <color rgb="FF1F6E43"/>
        <rFont val="Noto Sans CJK SC"/>
        <family val="2"/>
      </rPr>
      <t>고출력</t>
    </r>
    <r>
      <rPr>
        <i/>
        <sz val="10"/>
        <color rgb="FF1F6E43"/>
        <rFont val="Arial"/>
        <family val="2"/>
      </rPr>
      <t>) / T</t>
    </r>
  </si>
  <si>
    <t>Function (PA / LNA / T/R SW / Integrated FEM)</t>
  </si>
  <si>
    <r>
      <rPr>
        <i/>
        <sz val="10"/>
        <color rgb="FF1F6E43"/>
        <rFont val="Noto Sans CJK SC"/>
        <family val="2"/>
      </rPr>
      <t xml:space="preserve">통합 </t>
    </r>
    <r>
      <rPr>
        <i/>
        <sz val="10"/>
        <color rgb="FF1F6E43"/>
        <rFont val="Arial"/>
        <family val="2"/>
      </rPr>
      <t>FEM</t>
    </r>
  </si>
  <si>
    <t>Process (GaN / GaAs / SiGe)</t>
  </si>
  <si>
    <t>GaN on SiC</t>
  </si>
  <si>
    <t>Frequency</t>
  </si>
  <si>
    <t>PA (Tx)</t>
  </si>
  <si>
    <t>Saturated Power (Psat)</t>
  </si>
  <si>
    <t>≈ 33</t>
  </si>
  <si>
    <t>Output P1dB / P3dB</t>
  </si>
  <si>
    <t>≈ 30</t>
  </si>
  <si>
    <t>Linear Gain</t>
  </si>
  <si>
    <t>≈ 20</t>
  </si>
  <si>
    <t>Efficiency (PAE)</t>
  </si>
  <si>
    <t>≈ 25</t>
  </si>
  <si>
    <t>≈ 40</t>
  </si>
  <si>
    <t>LNA (Rx)</t>
  </si>
  <si>
    <t>≈ 2</t>
  </si>
  <si>
    <t>Gain</t>
  </si>
  <si>
    <t>Input IP3 (IIP3)</t>
  </si>
  <si>
    <t>≈ -5</t>
  </si>
  <si>
    <t>T/R Switch</t>
  </si>
  <si>
    <t>Insertion Loss</t>
  </si>
  <si>
    <t>≤ 1.5</t>
  </si>
  <si>
    <t>Isolation</t>
  </si>
  <si>
    <t>≥ 30</t>
  </si>
  <si>
    <t>Switching Speed</t>
  </si>
  <si>
    <t>Power Handling</t>
  </si>
  <si>
    <t>W</t>
  </si>
  <si>
    <t>+24 / -0.5 (GaN)</t>
  </si>
  <si>
    <t>Power Consumption</t>
  </si>
  <si>
    <t>Package / Size</t>
  </si>
  <si>
    <t>QFN / Die</t>
  </si>
  <si>
    <r>
      <rPr>
        <b/>
        <sz val="14"/>
        <color rgb="FFFFFFFF"/>
        <rFont val="Arial"/>
        <family val="2"/>
      </rPr>
      <t xml:space="preserve">Up/Down Converter · Mixer </t>
    </r>
    <r>
      <rPr>
        <b/>
        <sz val="14"/>
        <color rgb="FFFFFFFF"/>
        <rFont val="Noto Sans CJK SC"/>
        <family val="2"/>
      </rPr>
      <t xml:space="preserve">비교표 — </t>
    </r>
    <r>
      <rPr>
        <b/>
        <sz val="14"/>
        <color rgb="FFFFFFFF"/>
        <rFont val="Arial"/>
        <family val="2"/>
      </rPr>
      <t>Ka-band (</t>
    </r>
    <r>
      <rPr>
        <b/>
        <sz val="14"/>
        <color rgb="FFFFFFFF"/>
        <rFont val="Noto Sans CJK SC"/>
        <family val="2"/>
      </rPr>
      <t>단말</t>
    </r>
    <r>
      <rPr>
        <b/>
        <sz val="14"/>
        <color rgb="FFFFFFFF"/>
        <rFont val="Arial"/>
        <family val="2"/>
      </rPr>
      <t>/</t>
    </r>
    <r>
      <rPr>
        <b/>
        <sz val="14"/>
        <color rgb="FFFFFFFF"/>
        <rFont val="Noto Sans CJK SC"/>
        <family val="2"/>
      </rPr>
      <t>탑재체 공용</t>
    </r>
    <r>
      <rPr>
        <b/>
        <sz val="14"/>
        <color rgb="FFFFFFFF"/>
        <rFont val="Arial"/>
        <family val="2"/>
      </rPr>
      <t>)</t>
    </r>
  </si>
  <si>
    <r>
      <rPr>
        <sz val="9"/>
        <color rgb="FF555555"/>
        <rFont val="Noto Sans CJK SC"/>
        <family val="2"/>
      </rPr>
      <t xml:space="preserve">주파수 변환 </t>
    </r>
    <r>
      <rPr>
        <sz val="9"/>
        <color rgb="FF555555"/>
        <rFont val="Arial"/>
        <family val="2"/>
      </rPr>
      <t xml:space="preserve">IC / Mixer. </t>
    </r>
    <r>
      <rPr>
        <sz val="9"/>
        <color rgb="FF555555"/>
        <rFont val="Noto Sans CJK SC"/>
        <family val="2"/>
      </rPr>
      <t>단말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탑재체 구분 없이 공용 — 대역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규격만 상이</t>
    </r>
    <r>
      <rPr>
        <sz val="9"/>
        <color rgb="FF555555"/>
        <rFont val="Arial"/>
        <family val="2"/>
      </rPr>
      <t xml:space="preserve">. </t>
    </r>
    <r>
      <rPr>
        <sz val="9"/>
        <color rgb="FF555555"/>
        <rFont val="Noto Sans CJK SC"/>
        <family val="2"/>
      </rPr>
      <t xml:space="preserve">값은 </t>
    </r>
    <r>
      <rPr>
        <sz val="9"/>
        <color rgb="FF555555"/>
        <rFont val="Arial"/>
        <family val="2"/>
      </rPr>
      <t xml:space="preserve">datasheet </t>
    </r>
    <r>
      <rPr>
        <sz val="9"/>
        <color rgb="FF555555"/>
        <rFont val="Noto Sans CJK SC"/>
        <family val="2"/>
      </rPr>
      <t>확인 후 노란색 셀에 입력</t>
    </r>
    <r>
      <rPr>
        <sz val="9"/>
        <color rgb="FF555555"/>
        <rFont val="Arial"/>
        <family val="2"/>
      </rPr>
      <t>.</t>
    </r>
  </si>
  <si>
    <t>Model 1</t>
  </si>
  <si>
    <t>Model 2</t>
  </si>
  <si>
    <t>Model 3</t>
  </si>
  <si>
    <t>Model 4</t>
  </si>
  <si>
    <t>Model 5</t>
  </si>
  <si>
    <t>Model 6</t>
  </si>
  <si>
    <t>Qorvo / MACOM</t>
  </si>
  <si>
    <t>XXXX</t>
  </si>
  <si>
    <t>Function (Up / Down / IQ Mixer)</t>
  </si>
  <si>
    <t>Up-converter</t>
  </si>
  <si>
    <t>Architecture (single-conv / IRM / IQ)</t>
  </si>
  <si>
    <t>IQ (Image-reject)</t>
  </si>
  <si>
    <t>RF Frequency Range</t>
  </si>
  <si>
    <t>IF Frequency Range</t>
  </si>
  <si>
    <t>2 – 6</t>
  </si>
  <si>
    <t>LO Frequency Range</t>
  </si>
  <si>
    <t>22 – 28</t>
  </si>
  <si>
    <t>Integrated LO / PLL</t>
  </si>
  <si>
    <t>Performance</t>
  </si>
  <si>
    <t>Conversion Gain / Loss</t>
  </si>
  <si>
    <t>≈ +5 (gain)</t>
  </si>
  <si>
    <t>≈ 6</t>
  </si>
  <si>
    <t>Output P1dB</t>
  </si>
  <si>
    <t>OIP3 / IIP3</t>
  </si>
  <si>
    <t>LO drive level</t>
  </si>
  <si>
    <t>0 ~ +3</t>
  </si>
  <si>
    <t>LO–RF isolation</t>
  </si>
  <si>
    <t>LO–IF isolation</t>
  </si>
  <si>
    <t>Image rejection</t>
  </si>
  <si>
    <t>dBc</t>
  </si>
  <si>
    <t>Sideband suppression</t>
  </si>
  <si>
    <t>3.3 / 5.0</t>
  </si>
  <si>
    <t>QFN</t>
  </si>
  <si>
    <r>
      <rPr>
        <b/>
        <sz val="14"/>
        <color rgb="FFFFFFFF"/>
        <rFont val="Arial"/>
        <family val="2"/>
      </rPr>
      <t xml:space="preserve">PLL / Synthesizer </t>
    </r>
    <r>
      <rPr>
        <b/>
        <sz val="14"/>
        <color rgb="FFFFFFFF"/>
        <rFont val="Noto Sans CJK SC"/>
        <family val="2"/>
      </rPr>
      <t xml:space="preserve">비교표 — </t>
    </r>
    <r>
      <rPr>
        <b/>
        <sz val="14"/>
        <color rgb="FFFFFFFF"/>
        <rFont val="Arial"/>
        <family val="2"/>
      </rPr>
      <t>Ka-band (</t>
    </r>
    <r>
      <rPr>
        <b/>
        <sz val="14"/>
        <color rgb="FFFFFFFF"/>
        <rFont val="Noto Sans CJK SC"/>
        <family val="2"/>
      </rPr>
      <t>단말</t>
    </r>
    <r>
      <rPr>
        <b/>
        <sz val="14"/>
        <color rgb="FFFFFFFF"/>
        <rFont val="Arial"/>
        <family val="2"/>
      </rPr>
      <t>/</t>
    </r>
    <r>
      <rPr>
        <b/>
        <sz val="14"/>
        <color rgb="FFFFFFFF"/>
        <rFont val="Noto Sans CJK SC"/>
        <family val="2"/>
      </rPr>
      <t>탑재체 공용</t>
    </r>
    <r>
      <rPr>
        <b/>
        <sz val="14"/>
        <color rgb="FFFFFFFF"/>
        <rFont val="Arial"/>
        <family val="2"/>
      </rPr>
      <t>)</t>
    </r>
  </si>
  <si>
    <r>
      <rPr>
        <sz val="9"/>
        <color rgb="FF555555"/>
        <rFont val="Noto Sans CJK SC"/>
        <family val="2"/>
      </rPr>
      <t>주파수 합성기</t>
    </r>
    <r>
      <rPr>
        <sz val="9"/>
        <color rgb="FF555555"/>
        <rFont val="Arial"/>
        <family val="2"/>
      </rPr>
      <t xml:space="preserve">(LO). </t>
    </r>
    <r>
      <rPr>
        <sz val="9"/>
        <color rgb="FF555555"/>
        <rFont val="Noto Sans CJK SC"/>
        <family val="2"/>
      </rPr>
      <t>단말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탑재체 구분 없이 공용 — 우주급 여부만 상이</t>
    </r>
    <r>
      <rPr>
        <sz val="9"/>
        <color rgb="FF555555"/>
        <rFont val="Arial"/>
        <family val="2"/>
      </rPr>
      <t xml:space="preserve">. </t>
    </r>
    <r>
      <rPr>
        <sz val="9"/>
        <color rgb="FF555555"/>
        <rFont val="Noto Sans CJK SC"/>
        <family val="2"/>
      </rPr>
      <t xml:space="preserve">위상잡음은 </t>
    </r>
    <r>
      <rPr>
        <sz val="9"/>
        <color rgb="FF555555"/>
        <rFont val="Arial"/>
        <family val="2"/>
      </rPr>
      <t>offset</t>
    </r>
    <r>
      <rPr>
        <sz val="9"/>
        <color rgb="FF555555"/>
        <rFont val="Noto Sans CJK SC"/>
        <family val="2"/>
      </rPr>
      <t>별 입력</t>
    </r>
    <r>
      <rPr>
        <sz val="9"/>
        <color rgb="FF555555"/>
        <rFont val="Arial"/>
        <family val="2"/>
      </rPr>
      <t>.</t>
    </r>
  </si>
  <si>
    <t>ADF4xxx</t>
  </si>
  <si>
    <t>Function (Int-N / Frac-N)</t>
  </si>
  <si>
    <t>Fractional-N</t>
  </si>
  <si>
    <t>Output Frequency Range</t>
  </si>
  <si>
    <t>0.05 – 32</t>
  </si>
  <si>
    <t>Integrated VCO</t>
  </si>
  <si>
    <t>Reference Input Frequency</t>
  </si>
  <si>
    <t>MHz</t>
  </si>
  <si>
    <t>≤ 600</t>
  </si>
  <si>
    <t>PFD Max Frequency</t>
  </si>
  <si>
    <t>≤ 250</t>
  </si>
  <si>
    <t>Phase Noise</t>
  </si>
  <si>
    <t>Phase Noise @ 1 kHz</t>
  </si>
  <si>
    <t>dBc/Hz</t>
  </si>
  <si>
    <t>Phase Noise @ 10 kHz</t>
  </si>
  <si>
    <t>-110</t>
  </si>
  <si>
    <t>Phase Noise @ 100 kHz</t>
  </si>
  <si>
    <t>-115</t>
  </si>
  <si>
    <t>Phase Noise @ 1 MHz</t>
  </si>
  <si>
    <t>-135</t>
  </si>
  <si>
    <t>Normalized PN Floor (FoM)</t>
  </si>
  <si>
    <t>-231</t>
  </si>
  <si>
    <t>Int-boundary / Frac spur</t>
  </si>
  <si>
    <t>≤ -50</t>
  </si>
  <si>
    <t>Jitter (RMS, integrated)</t>
  </si>
  <si>
    <t>fs</t>
  </si>
  <si>
    <t>Performance / Other</t>
  </si>
  <si>
    <t>Output Power</t>
  </si>
  <si>
    <t>≈ 0</t>
  </si>
  <si>
    <t>Lock time</t>
  </si>
  <si>
    <t>µs</t>
  </si>
  <si>
    <t>7 x 7 LFCSP</t>
  </si>
  <si>
    <r>
      <rPr>
        <b/>
        <sz val="14"/>
        <color rgb="FFFFFFFF"/>
        <rFont val="Arial"/>
        <family val="2"/>
      </rPr>
      <t xml:space="preserve">Data Converter (ADC / DAC) </t>
    </r>
    <r>
      <rPr>
        <b/>
        <sz val="14"/>
        <color rgb="FFFFFFFF"/>
        <rFont val="Noto Sans CJK SC"/>
        <family val="2"/>
      </rPr>
      <t xml:space="preserve">비교표 — </t>
    </r>
    <r>
      <rPr>
        <b/>
        <sz val="14"/>
        <color rgb="FFFFFFFF"/>
        <rFont val="Arial"/>
        <family val="2"/>
      </rPr>
      <t>Ka-band (</t>
    </r>
    <r>
      <rPr>
        <b/>
        <sz val="14"/>
        <color rgb="FFFFFFFF"/>
        <rFont val="Noto Sans CJK SC"/>
        <family val="2"/>
      </rPr>
      <t>단말</t>
    </r>
    <r>
      <rPr>
        <b/>
        <sz val="14"/>
        <color rgb="FFFFFFFF"/>
        <rFont val="Arial"/>
        <family val="2"/>
      </rPr>
      <t>/</t>
    </r>
    <r>
      <rPr>
        <b/>
        <sz val="14"/>
        <color rgb="FFFFFFFF"/>
        <rFont val="Noto Sans CJK SC"/>
        <family val="2"/>
      </rPr>
      <t>탑재체 공용</t>
    </r>
    <r>
      <rPr>
        <b/>
        <sz val="14"/>
        <color rgb="FFFFFFFF"/>
        <rFont val="Arial"/>
        <family val="2"/>
      </rPr>
      <t>)</t>
    </r>
  </si>
  <si>
    <r>
      <rPr>
        <sz val="9"/>
        <color rgb="FF555555"/>
        <rFont val="Noto Sans CJK SC"/>
        <family val="2"/>
      </rPr>
      <t>디지털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하이브리드 빔포밍용 데이터 컨버터</t>
    </r>
    <r>
      <rPr>
        <sz val="9"/>
        <color rgb="FF555555"/>
        <rFont val="Arial"/>
        <family val="2"/>
      </rPr>
      <t xml:space="preserve">. </t>
    </r>
    <r>
      <rPr>
        <sz val="9"/>
        <color rgb="FF555555"/>
        <rFont val="Noto Sans CJK SC"/>
        <family val="2"/>
      </rPr>
      <t>단말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탑재체 구분 없이 공용 — 아키텍처</t>
    </r>
    <r>
      <rPr>
        <sz val="9"/>
        <color rgb="FF555555"/>
        <rFont val="Arial"/>
        <family val="2"/>
      </rPr>
      <t>·</t>
    </r>
    <r>
      <rPr>
        <sz val="9"/>
        <color rgb="FF555555"/>
        <rFont val="Noto Sans CJK SC"/>
        <family val="2"/>
      </rPr>
      <t>규격만 상이</t>
    </r>
    <r>
      <rPr>
        <sz val="9"/>
        <color rgb="FF555555"/>
        <rFont val="Arial"/>
        <family val="2"/>
      </rPr>
      <t>.</t>
    </r>
  </si>
  <si>
    <t>Analog Devices / TI</t>
  </si>
  <si>
    <t>ADxxxx</t>
  </si>
  <si>
    <r>
      <rPr>
        <i/>
        <sz val="10"/>
        <color rgb="FF1F6E43"/>
        <rFont val="Arial"/>
        <family val="2"/>
      </rPr>
      <t>P(</t>
    </r>
    <r>
      <rPr>
        <i/>
        <sz val="10"/>
        <color rgb="FF1F6E43"/>
        <rFont val="Noto Sans CJK SC"/>
        <family val="2"/>
      </rPr>
      <t>디지털 빔포밍</t>
    </r>
    <r>
      <rPr>
        <i/>
        <sz val="10"/>
        <color rgb="FF1F6E43"/>
        <rFont val="Arial"/>
        <family val="2"/>
      </rPr>
      <t>)</t>
    </r>
  </si>
  <si>
    <t>Function (ADC / DAC / RF-Sampling)</t>
  </si>
  <si>
    <t>RF-Sampling ADC</t>
  </si>
  <si>
    <t>Number of Channels</t>
  </si>
  <si>
    <t>Resolution</t>
  </si>
  <si>
    <t>Sample Rate</t>
  </si>
  <si>
    <t>GSPS</t>
  </si>
  <si>
    <t>≈ 4</t>
  </si>
  <si>
    <t>Analog Input Bandwidth</t>
  </si>
  <si>
    <t>SFDR</t>
  </si>
  <si>
    <t>≈ 65</t>
  </si>
  <si>
    <t>SNR / SINAD</t>
  </si>
  <si>
    <t>≈ 58</t>
  </si>
  <si>
    <t>ENOB</t>
  </si>
  <si>
    <t>≈ 9.3</t>
  </si>
  <si>
    <t>Noise Spectral Density (NSD)</t>
  </si>
  <si>
    <t>dBFS/Hz</t>
  </si>
  <si>
    <t>≈ -150</t>
  </si>
  <si>
    <t>Interface</t>
  </si>
  <si>
    <t>Digital Interface</t>
  </si>
  <si>
    <t>JESD204B/C</t>
  </si>
  <si>
    <t>Latency</t>
  </si>
  <si>
    <t>cycle</t>
  </si>
  <si>
    <t>BGA</t>
  </si>
  <si>
    <r>
      <rPr>
        <sz val="9"/>
        <color rgb="FF555555"/>
        <rFont val="맑은 고딕"/>
        <family val="3"/>
        <charset val="129"/>
      </rPr>
      <t>위상배열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빔포머</t>
    </r>
    <r>
      <rPr>
        <sz val="9"/>
        <color rgb="FF555555"/>
        <rFont val="Arial"/>
        <family val="2"/>
      </rPr>
      <t xml:space="preserve"> IC. </t>
    </r>
    <r>
      <rPr>
        <sz val="9"/>
        <color rgb="FF555555"/>
        <rFont val="맑은 고딕"/>
        <family val="3"/>
        <charset val="129"/>
      </rPr>
      <t>대역은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주파수로만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표기</t>
    </r>
    <r>
      <rPr>
        <sz val="9"/>
        <color rgb="FF555555"/>
        <rFont val="Arial"/>
        <family val="2"/>
      </rPr>
      <t>(</t>
    </r>
    <r>
      <rPr>
        <sz val="9"/>
        <color rgb="FF555555"/>
        <rFont val="맑은 고딕"/>
        <family val="3"/>
        <charset val="129"/>
      </rPr>
      <t>방향은</t>
    </r>
    <r>
      <rPr>
        <sz val="9"/>
        <color rgb="FF555555"/>
        <rFont val="Arial"/>
        <family val="2"/>
      </rPr>
      <t xml:space="preserve"> '</t>
    </r>
    <r>
      <rPr>
        <sz val="9"/>
        <color rgb="FF555555"/>
        <rFont val="맑은 고딕"/>
        <family val="3"/>
        <charset val="129"/>
      </rPr>
      <t>기능</t>
    </r>
    <r>
      <rPr>
        <sz val="9"/>
        <color rgb="FF555555"/>
        <rFont val="Arial"/>
        <family val="2"/>
      </rPr>
      <t xml:space="preserve">(Tx/Rx)' </t>
    </r>
    <r>
      <rPr>
        <sz val="9"/>
        <color rgb="FF555555"/>
        <rFont val="맑은 고딕"/>
        <family val="3"/>
        <charset val="129"/>
      </rPr>
      <t>행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참고</t>
    </r>
    <r>
      <rPr>
        <sz val="9"/>
        <color rgb="FF555555"/>
        <rFont val="Arial"/>
        <family val="2"/>
      </rPr>
      <t xml:space="preserve">). </t>
    </r>
    <r>
      <rPr>
        <sz val="9"/>
        <color rgb="FF555555"/>
        <rFont val="맑은 고딕"/>
        <family val="3"/>
        <charset val="129"/>
      </rPr>
      <t>단말</t>
    </r>
    <r>
      <rPr>
        <sz val="9"/>
        <color rgb="FF555555"/>
        <rFont val="Arial"/>
        <family val="2"/>
      </rPr>
      <t xml:space="preserve"> Tx=</t>
    </r>
    <r>
      <rPr>
        <sz val="9"/>
        <color rgb="FF555555"/>
        <rFont val="맑은 고딕"/>
        <family val="3"/>
        <charset val="129"/>
      </rPr>
      <t>고대역</t>
    </r>
    <r>
      <rPr>
        <sz val="9"/>
        <color rgb="FF555555"/>
        <rFont val="Arial"/>
        <family val="2"/>
      </rPr>
      <t>/Rx=</t>
    </r>
    <r>
      <rPr>
        <sz val="9"/>
        <color rgb="FF555555"/>
        <rFont val="맑은 고딕"/>
        <family val="3"/>
        <charset val="129"/>
      </rPr>
      <t>저대역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맑은 고딕"/>
        <family val="3"/>
        <charset val="129"/>
      </rPr>
      <t>탑재체는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반전</t>
    </r>
    <r>
      <rPr>
        <sz val="9"/>
        <color rgb="FF555555"/>
        <rFont val="Arial"/>
        <family val="2"/>
      </rPr>
      <t>.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</si>
</sst>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Noto Sans CJK SC"/>
      <family val="2"/>
    </font>
    <font>
      <sz val="10"/>
      <color rgb="FF000000"/>
      <name val="Noto Sans CJK SC"/>
      <family val="2"/>
    </font>
    <font>
      <b/>
      <sz val="10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  <font>
      <i/>
      <sz val="10"/>
      <color rgb="FF1F6E43"/>
      <name val="Arial"/>
      <family val="2"/>
    </font>
    <font>
      <i/>
      <sz val="9"/>
      <color rgb="FF555555"/>
      <name val="Noto Sans CJK SC"/>
      <family val="2"/>
    </font>
    <font>
      <i/>
      <sz val="10"/>
      <color rgb="FF1F6E43"/>
      <name val="Noto Sans CJK SC"/>
      <family val="2"/>
    </font>
    <font>
      <sz val="8"/>
      <name val="돋움"/>
      <family val="3"/>
      <charset val="129"/>
    </font>
    <font>
      <sz val="9"/>
      <color rgb="FF555555"/>
      <name val="맑은 고딕"/>
      <family val="3"/>
      <charset val="129"/>
    </font>
    <font>
      <sz val="9"/>
      <color rgb="FF555555"/>
      <name val="Noto Sans CJK S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E4DFEC"/>
      </patternFill>
    </fill>
    <fill>
      <patternFill patternType="solid">
        <fgColor rgb="FFE4DFEC"/>
        <bgColor rgb="FFD9E1F2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zoomScaleNormal="100" workbookViewId="0">
      <selection sqref="A1:F1"/>
    </sheetView>
  </sheetViews>
  <sheetFormatPr defaultColWidth="8.6640625" defaultRowHeight="14.25"/>
  <cols>
    <col min="1" max="1" width="16" customWidth="1"/>
    <col min="2" max="6" width="20" customWidth="1"/>
  </cols>
  <sheetData>
    <row r="1" spans="1:6" ht="27.75" customHeight="1">
      <c r="A1" s="24" t="s">
        <v>0</v>
      </c>
      <c r="B1" s="24"/>
      <c r="C1" s="24"/>
      <c r="D1" s="24"/>
      <c r="E1" s="24"/>
      <c r="F1" s="24"/>
    </row>
    <row r="2" spans="1:6">
      <c r="A2" s="3"/>
      <c r="B2" s="27"/>
      <c r="C2" s="27"/>
      <c r="D2" s="27"/>
      <c r="E2" s="27"/>
      <c r="F2" s="27"/>
    </row>
    <row r="3" spans="1:6" ht="15" customHeight="1">
      <c r="A3" s="4" t="s">
        <v>1</v>
      </c>
      <c r="B3" s="27" t="s">
        <v>2</v>
      </c>
      <c r="C3" s="27"/>
      <c r="D3" s="27"/>
      <c r="E3" s="27"/>
      <c r="F3" s="27"/>
    </row>
    <row r="4" spans="1:6" ht="15" customHeight="1">
      <c r="A4" s="4" t="s">
        <v>3</v>
      </c>
      <c r="B4" s="27" t="s">
        <v>4</v>
      </c>
      <c r="C4" s="27"/>
      <c r="D4" s="27"/>
      <c r="E4" s="27"/>
      <c r="F4" s="27"/>
    </row>
    <row r="5" spans="1:6" ht="15" customHeight="1">
      <c r="A5" s="4" t="s">
        <v>5</v>
      </c>
      <c r="B5" s="28" t="s">
        <v>6</v>
      </c>
      <c r="C5" s="28"/>
      <c r="D5" s="28"/>
      <c r="E5" s="28"/>
      <c r="F5" s="28"/>
    </row>
    <row r="6" spans="1:6" ht="15" customHeight="1">
      <c r="A6" s="4" t="s">
        <v>7</v>
      </c>
      <c r="B6" s="28" t="s">
        <v>8</v>
      </c>
      <c r="C6" s="28"/>
      <c r="D6" s="28"/>
      <c r="E6" s="28"/>
      <c r="F6" s="28"/>
    </row>
    <row r="7" spans="1:6" ht="29.85" customHeight="1">
      <c r="A7" s="3" t="s">
        <v>9</v>
      </c>
      <c r="B7" s="28" t="s">
        <v>10</v>
      </c>
      <c r="C7" s="28"/>
      <c r="D7" s="28"/>
      <c r="E7" s="28"/>
      <c r="F7" s="28"/>
    </row>
    <row r="8" spans="1:6" ht="29.85" customHeight="1">
      <c r="A8" s="3" t="s">
        <v>11</v>
      </c>
      <c r="B8" s="28" t="s">
        <v>12</v>
      </c>
      <c r="C8" s="28"/>
      <c r="D8" s="28"/>
      <c r="E8" s="28"/>
      <c r="F8" s="28"/>
    </row>
    <row r="9" spans="1:6" ht="29.85" customHeight="1">
      <c r="A9" s="4" t="s">
        <v>13</v>
      </c>
      <c r="B9" s="27" t="s">
        <v>14</v>
      </c>
      <c r="C9" s="27"/>
      <c r="D9" s="27"/>
      <c r="E9" s="27"/>
      <c r="F9" s="27"/>
    </row>
    <row r="10" spans="1:6" ht="15" customHeight="1">
      <c r="A10" s="4" t="s">
        <v>15</v>
      </c>
      <c r="B10" s="27" t="s">
        <v>16</v>
      </c>
      <c r="C10" s="27"/>
      <c r="D10" s="27"/>
      <c r="E10" s="27"/>
      <c r="F10" s="27"/>
    </row>
    <row r="11" spans="1:6" ht="15" customHeight="1">
      <c r="A11" s="4" t="s">
        <v>17</v>
      </c>
      <c r="B11" s="28" t="s">
        <v>18</v>
      </c>
      <c r="C11" s="28"/>
      <c r="D11" s="28"/>
      <c r="E11" s="28"/>
      <c r="F11" s="28"/>
    </row>
    <row r="12" spans="1:6">
      <c r="A12" s="3"/>
      <c r="B12" s="27"/>
      <c r="C12" s="27"/>
      <c r="D12" s="27"/>
      <c r="E12" s="27"/>
      <c r="F12" s="27"/>
    </row>
    <row r="13" spans="1:6">
      <c r="A13" s="4" t="s">
        <v>19</v>
      </c>
      <c r="B13" s="27"/>
      <c r="C13" s="27"/>
      <c r="D13" s="27"/>
      <c r="E13" s="27"/>
      <c r="F13" s="27"/>
    </row>
    <row r="14" spans="1:6" ht="15" customHeight="1">
      <c r="A14" s="5" t="s">
        <v>20</v>
      </c>
      <c r="B14" s="27" t="s">
        <v>21</v>
      </c>
      <c r="C14" s="27"/>
      <c r="D14" s="27"/>
      <c r="E14" s="27"/>
      <c r="F14" s="27"/>
    </row>
    <row r="15" spans="1:6" ht="15" customHeight="1">
      <c r="A15" s="6" t="s">
        <v>22</v>
      </c>
      <c r="B15" s="27" t="s">
        <v>23</v>
      </c>
      <c r="C15" s="27"/>
      <c r="D15" s="27"/>
      <c r="E15" s="27"/>
      <c r="F15" s="27"/>
    </row>
    <row r="16" spans="1:6" ht="15" customHeight="1">
      <c r="A16" s="7" t="s">
        <v>24</v>
      </c>
      <c r="B16" s="27" t="s">
        <v>25</v>
      </c>
      <c r="C16" s="27"/>
      <c r="D16" s="27"/>
      <c r="E16" s="27"/>
      <c r="F16" s="27"/>
    </row>
    <row r="17" spans="1:6" ht="15" customHeight="1">
      <c r="A17" s="8" t="s">
        <v>26</v>
      </c>
      <c r="B17" s="27" t="s">
        <v>27</v>
      </c>
      <c r="C17" s="27"/>
      <c r="D17" s="27"/>
      <c r="E17" s="27"/>
      <c r="F17" s="27"/>
    </row>
    <row r="18" spans="1:6" ht="15" customHeight="1">
      <c r="A18" s="9" t="s">
        <v>28</v>
      </c>
      <c r="B18" s="28" t="s">
        <v>29</v>
      </c>
      <c r="C18" s="28"/>
      <c r="D18" s="28"/>
      <c r="E18" s="28"/>
      <c r="F18" s="28"/>
    </row>
    <row r="19" spans="1:6" ht="15" customHeight="1">
      <c r="A19" s="10" t="s">
        <v>30</v>
      </c>
      <c r="B19" s="28" t="s">
        <v>31</v>
      </c>
      <c r="C19" s="28"/>
      <c r="D19" s="28"/>
      <c r="E19" s="28"/>
      <c r="F19" s="28"/>
    </row>
    <row r="20" spans="1:6" ht="15" customHeight="1">
      <c r="A20" s="11" t="s">
        <v>32</v>
      </c>
      <c r="B20" s="28" t="s">
        <v>33</v>
      </c>
      <c r="C20" s="28"/>
      <c r="D20" s="28"/>
      <c r="E20" s="28"/>
      <c r="F20" s="28"/>
    </row>
    <row r="22" spans="1:6">
      <c r="A22" s="26" t="s">
        <v>34</v>
      </c>
      <c r="B22" s="26"/>
      <c r="C22" s="26"/>
      <c r="D22" s="26"/>
      <c r="E22" s="26"/>
      <c r="F22" s="26"/>
    </row>
  </sheetData>
  <mergeCells count="21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22:F22"/>
    <mergeCell ref="B16:F16"/>
    <mergeCell ref="B17:F17"/>
    <mergeCell ref="B18:F18"/>
    <mergeCell ref="B19:F19"/>
    <mergeCell ref="B20:F20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6640625" defaultRowHeight="14.25"/>
  <cols>
    <col min="1" max="1" width="14" customWidth="1"/>
    <col min="2" max="2" width="7" customWidth="1"/>
    <col min="3" max="3" width="12" customWidth="1"/>
    <col min="4" max="6" width="16" customWidth="1"/>
    <col min="7" max="7" width="18" customWidth="1"/>
    <col min="8" max="8" width="9" customWidth="1"/>
    <col min="9" max="9" width="8" customWidth="1"/>
    <col min="10" max="10" width="7" customWidth="1"/>
  </cols>
  <sheetData>
    <row r="1" spans="1:10" ht="25.5" customHeight="1">
      <c r="A1" s="24" t="s">
        <v>35</v>
      </c>
      <c r="B1" s="24"/>
      <c r="C1" s="24"/>
      <c r="D1" s="24"/>
      <c r="E1" s="24"/>
      <c r="F1" s="24"/>
      <c r="G1" s="24"/>
      <c r="H1" s="24"/>
      <c r="I1" s="24"/>
      <c r="J1" s="24"/>
    </row>
    <row r="2" spans="1:10">
      <c r="A2" s="26" t="s">
        <v>36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21.75" customHeight="1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</row>
    <row r="5" spans="1:10">
      <c r="A5" s="13" t="s">
        <v>47</v>
      </c>
      <c r="B5" s="13" t="s">
        <v>48</v>
      </c>
      <c r="C5" s="14" t="s">
        <v>49</v>
      </c>
      <c r="D5" s="13" t="str">
        <f>IFERROR(IF(ISBLANK(INDEX(Beamformer_BFIC!E:E,MATCH("Part No.",Beamformer_BFIC!$B:$B,0))),"",INDEX(Beamformer_BFIC!E:E,MATCH("Part No.",Beamformer_BFIC!$B:$B,0))),"")</f>
        <v>F6522</v>
      </c>
      <c r="E5" s="13" t="str">
        <f>IFERROR(IF(ISBLANK(INDEX(Beamformer_BFIC!E:E,MATCH("Manufacturer",Beamformer_BFIC!$B:$B,0))),"",INDEX(Beamformer_BFIC!E:E,MATCH("Manufacturer",Beamformer_BFIC!$B:$B,0))),"")</f>
        <v>Renesas</v>
      </c>
      <c r="F5" s="13" t="str">
        <f>IFERROR(IF(ISBLANK(INDEX(Beamformer_BFIC!E:E,MATCH("Function (Tx / Rx / TRx)",Beamformer_BFIC!$B:$B,0))),"",INDEX(Beamformer_BFIC!E:E,MATCH("Function (Tx / Rx / TRx)",Beamformer_BFIC!$B:$B,0))),"")</f>
        <v>Tx</v>
      </c>
      <c r="G5" s="13" t="str">
        <f>IFERROR(IF(ISBLANK(INDEX(Beamformer_BFIC!E:E,MATCH("Operating Frequency Range",Beamformer_BFIC!$B:$B,0))),"",INDEX(Beamformer_BFIC!E:E,MATCH("Operating Frequency Range",Beamformer_BFIC!$B:$B,0))),"")</f>
        <v>27.5 – 31.0</v>
      </c>
      <c r="H5" s="13" t="str">
        <f>IFERROR(IF(ISBLANK(INDEX(Beamformer_BFIC!E:E,MATCH("Number of Channels (elements)",Beamformer_BFIC!$B:$B,0))),"",INDEX(Beamformer_BFIC!E:E,MATCH("Number of Channels (elements)",Beamformer_BFIC!$B:$B,0))),"")</f>
        <v>8</v>
      </c>
      <c r="I5" s="13" t="str">
        <f>IFERROR(IF(ISBLANK(INDEX(Beamformer_BFIC!E:E,MATCH("Number of Beams",Beamformer_BFIC!$B:$B,0))),"",INDEX(Beamformer_BFIC!E:E,MATCH("Number of Beams",Beamformer_BFIC!$B:$B,0))),"")</f>
        <v>1</v>
      </c>
      <c r="J5" s="13" t="str">
        <f t="shared" ref="J5:J36" si="0">IF(D5="","","●")</f>
        <v>●</v>
      </c>
    </row>
    <row r="6" spans="1:10" ht="25.5">
      <c r="A6" s="13" t="s">
        <v>47</v>
      </c>
      <c r="B6" s="13" t="s">
        <v>50</v>
      </c>
      <c r="C6" s="14" t="s">
        <v>49</v>
      </c>
      <c r="D6" s="13" t="str">
        <f>IFERROR(IF(ISBLANK(INDEX(Beamformer_BFIC!F:F,MATCH("Part No.",Beamformer_BFIC!$B:$B,0))),"",INDEX(Beamformer_BFIC!F:F,MATCH("Part No.",Beamformer_BFIC!$B:$B,0))),"")</f>
        <v>F6122</v>
      </c>
      <c r="E6" s="13" t="str">
        <f>IFERROR(IF(ISBLANK(INDEX(Beamformer_BFIC!F:F,MATCH("Manufacturer",Beamformer_BFIC!$B:$B,0))),"",INDEX(Beamformer_BFIC!F:F,MATCH("Manufacturer",Beamformer_BFIC!$B:$B,0))),"")</f>
        <v>Renesas</v>
      </c>
      <c r="F6" s="13" t="str">
        <f>IFERROR(IF(ISBLANK(INDEX(Beamformer_BFIC!F:F,MATCH("Function (Tx / Rx / TRx)",Beamformer_BFIC!$B:$B,0))),"",INDEX(Beamformer_BFIC!F:F,MATCH("Function (Tx / Rx / TRx)",Beamformer_BFIC!$B:$B,0))),"")</f>
        <v>Rx</v>
      </c>
      <c r="G6" s="13" t="str">
        <f>IFERROR(IF(ISBLANK(INDEX(Beamformer_BFIC!F:F,MATCH("Operating Frequency Range",Beamformer_BFIC!$B:$B,0))),"",INDEX(Beamformer_BFIC!F:F,MATCH("Operating Frequency Range",Beamformer_BFIC!$B:$B,0))),"")</f>
        <v>17.7 – 21.2</v>
      </c>
      <c r="H6" s="13" t="str">
        <f>IFERROR(IF(ISBLANK(INDEX(Beamformer_BFIC!F:F,MATCH("Number of Channels (elements)",Beamformer_BFIC!$B:$B,0))),"",INDEX(Beamformer_BFIC!F:F,MATCH("Number of Channels (elements)",Beamformer_BFIC!$B:$B,0))),"")</f>
        <v>16 (8/beam)</v>
      </c>
      <c r="I6" s="13" t="str">
        <f>IFERROR(IF(ISBLANK(INDEX(Beamformer_BFIC!F:F,MATCH("Number of Beams",Beamformer_BFIC!$B:$B,0))),"",INDEX(Beamformer_BFIC!F:F,MATCH("Number of Beams",Beamformer_BFIC!$B:$B,0))),"")</f>
        <v>2</v>
      </c>
      <c r="J6" s="13" t="str">
        <f t="shared" si="0"/>
        <v>●</v>
      </c>
    </row>
    <row r="7" spans="1:10" ht="25.5">
      <c r="A7" s="13" t="s">
        <v>47</v>
      </c>
      <c r="B7" s="13" t="s">
        <v>51</v>
      </c>
      <c r="C7" s="14" t="s">
        <v>49</v>
      </c>
      <c r="D7" s="13" t="str">
        <f>IFERROR(IF(ISBLANK(INDEX(Beamformer_BFIC!G:G,MATCH("Part No.",Beamformer_BFIC!$B:$B,0))),"",INDEX(Beamformer_BFIC!G:G,MATCH("Part No.",Beamformer_BFIC!$B:$B,0))),"")</f>
        <v>F6222</v>
      </c>
      <c r="E7" s="13" t="str">
        <f>IFERROR(IF(ISBLANK(INDEX(Beamformer_BFIC!G:G,MATCH("Manufacturer",Beamformer_BFIC!$B:$B,0))),"",INDEX(Beamformer_BFIC!G:G,MATCH("Manufacturer",Beamformer_BFIC!$B:$B,0))),"")</f>
        <v>Axiro Semi.</v>
      </c>
      <c r="F7" s="13" t="str">
        <f>IFERROR(IF(ISBLANK(INDEX(Beamformer_BFIC!G:G,MATCH("Function (Tx / Rx / TRx)",Beamformer_BFIC!$B:$B,0))),"",INDEX(Beamformer_BFIC!G:G,MATCH("Function (Tx / Rx / TRx)",Beamformer_BFIC!$B:$B,0))),"")</f>
        <v>Rx</v>
      </c>
      <c r="G7" s="13" t="str">
        <f>IFERROR(IF(ISBLANK(INDEX(Beamformer_BFIC!G:G,MATCH("Operating Frequency Range",Beamformer_BFIC!$B:$B,0))),"",INDEX(Beamformer_BFIC!G:G,MATCH("Operating Frequency Range",Beamformer_BFIC!$B:$B,0))),"")</f>
        <v>17.7 – 21.2</v>
      </c>
      <c r="H7" s="13" t="str">
        <f>IFERROR(IF(ISBLANK(INDEX(Beamformer_BFIC!G:G,MATCH("Number of Channels (elements)",Beamformer_BFIC!$B:$B,0))),"",INDEX(Beamformer_BFIC!G:G,MATCH("Number of Channels (elements)",Beamformer_BFIC!$B:$B,0))),"")</f>
        <v>16 (8/beam)</v>
      </c>
      <c r="I7" s="13" t="str">
        <f>IFERROR(IF(ISBLANK(INDEX(Beamformer_BFIC!G:G,MATCH("Number of Beams",Beamformer_BFIC!$B:$B,0))),"",INDEX(Beamformer_BFIC!G:G,MATCH("Number of Beams",Beamformer_BFIC!$B:$B,0))),"")</f>
        <v>2</v>
      </c>
      <c r="J7" s="13" t="str">
        <f t="shared" si="0"/>
        <v>●</v>
      </c>
    </row>
    <row r="8" spans="1:10" ht="25.5">
      <c r="A8" s="13" t="s">
        <v>47</v>
      </c>
      <c r="B8" s="13" t="s">
        <v>52</v>
      </c>
      <c r="C8" s="14" t="s">
        <v>49</v>
      </c>
      <c r="D8" s="13" t="str">
        <f>IFERROR(IF(ISBLANK(INDEX(Beamformer_BFIC!H:H,MATCH("Part No.",Beamformer_BFIC!$B:$B,0))),"",INDEX(Beamformer_BFIC!H:H,MATCH("Part No.",Beamformer_BFIC!$B:$B,0))),"")</f>
        <v>Blueway1721</v>
      </c>
      <c r="E8" s="13" t="str">
        <f>IFERROR(IF(ISBLANK(INDEX(Beamformer_BFIC!H:H,MATCH("Manufacturer",Beamformer_BFIC!$B:$B,0))),"",INDEX(Beamformer_BFIC!H:H,MATCH("Manufacturer",Beamformer_BFIC!$B:$B,0))),"")</f>
        <v>Sivers</v>
      </c>
      <c r="F8" s="13" t="str">
        <f>IFERROR(IF(ISBLANK(INDEX(Beamformer_BFIC!H:H,MATCH("Function (Tx / Rx / TRx)",Beamformer_BFIC!$B:$B,0))),"",INDEX(Beamformer_BFIC!H:H,MATCH("Function (Tx / Rx / TRx)",Beamformer_BFIC!$B:$B,0))),"")</f>
        <v>Rx</v>
      </c>
      <c r="G8" s="13" t="str">
        <f>IFERROR(IF(ISBLANK(INDEX(Beamformer_BFIC!H:H,MATCH("Operating Frequency Range",Beamformer_BFIC!$B:$B,0))),"",INDEX(Beamformer_BFIC!H:H,MATCH("Operating Frequency Range",Beamformer_BFIC!$B:$B,0))),"")</f>
        <v>17.7 – 21.2</v>
      </c>
      <c r="H8" s="13" t="str">
        <f>IFERROR(IF(ISBLANK(INDEX(Beamformer_BFIC!H:H,MATCH("Number of Channels (elements)",Beamformer_BFIC!$B:$B,0))),"",INDEX(Beamformer_BFIC!H:H,MATCH("Number of Channels (elements)",Beamformer_BFIC!$B:$B,0))),"")</f>
        <v>8 (4 dual-pol)</v>
      </c>
      <c r="I8" s="13" t="str">
        <f>IFERROR(IF(ISBLANK(INDEX(Beamformer_BFIC!H:H,MATCH("Number of Beams",Beamformer_BFIC!$B:$B,0))),"",INDEX(Beamformer_BFIC!H:H,MATCH("Number of Beams",Beamformer_BFIC!$B:$B,0))),"")</f>
        <v>2</v>
      </c>
      <c r="J8" s="13" t="str">
        <f t="shared" si="0"/>
        <v>●</v>
      </c>
    </row>
    <row r="9" spans="1:10" ht="25.5">
      <c r="A9" s="13" t="s">
        <v>47</v>
      </c>
      <c r="B9" s="13" t="s">
        <v>53</v>
      </c>
      <c r="C9" s="14" t="s">
        <v>49</v>
      </c>
      <c r="D9" s="13" t="str">
        <f>IFERROR(IF(ISBLANK(INDEX(Beamformer_BFIC!I:I,MATCH("Part No.",Beamformer_BFIC!$B:$B,0))),"",INDEX(Beamformer_BFIC!I:I,MATCH("Part No.",Beamformer_BFIC!$B:$B,0))),"")</f>
        <v>Stampede2731 (LP)</v>
      </c>
      <c r="E9" s="13" t="str">
        <f>IFERROR(IF(ISBLANK(INDEX(Beamformer_BFIC!I:I,MATCH("Manufacturer",Beamformer_BFIC!$B:$B,0))),"",INDEX(Beamformer_BFIC!I:I,MATCH("Manufacturer",Beamformer_BFIC!$B:$B,0))),"")</f>
        <v>Sivers</v>
      </c>
      <c r="F9" s="13" t="str">
        <f>IFERROR(IF(ISBLANK(INDEX(Beamformer_BFIC!I:I,MATCH("Function (Tx / Rx / TRx)",Beamformer_BFIC!$B:$B,0))),"",INDEX(Beamformer_BFIC!I:I,MATCH("Function (Tx / Rx / TRx)",Beamformer_BFIC!$B:$B,0))),"")</f>
        <v>Tx</v>
      </c>
      <c r="G9" s="13" t="str">
        <f>IFERROR(IF(ISBLANK(INDEX(Beamformer_BFIC!I:I,MATCH("Operating Frequency Range",Beamformer_BFIC!$B:$B,0))),"",INDEX(Beamformer_BFIC!I:I,MATCH("Operating Frequency Range",Beamformer_BFIC!$B:$B,0))),"")</f>
        <v>27.5 – 31.0</v>
      </c>
      <c r="H9" s="13" t="str">
        <f>IFERROR(IF(ISBLANK(INDEX(Beamformer_BFIC!I:I,MATCH("Number of Channels (elements)",Beamformer_BFIC!$B:$B,0))),"",INDEX(Beamformer_BFIC!I:I,MATCH("Number of Channels (elements)",Beamformer_BFIC!$B:$B,0))),"")</f>
        <v>8 (4 dual-pol)</v>
      </c>
      <c r="I9" s="13" t="str">
        <f>IFERROR(IF(ISBLANK(INDEX(Beamformer_BFIC!I:I,MATCH("Number of Beams",Beamformer_BFIC!$B:$B,0))),"",INDEX(Beamformer_BFIC!I:I,MATCH("Number of Beams",Beamformer_BFIC!$B:$B,0))),"")</f>
        <v>2</v>
      </c>
      <c r="J9" s="13" t="str">
        <f t="shared" si="0"/>
        <v>●</v>
      </c>
    </row>
    <row r="10" spans="1:10" ht="25.5">
      <c r="A10" s="13" t="s">
        <v>47</v>
      </c>
      <c r="B10" s="13" t="s">
        <v>54</v>
      </c>
      <c r="C10" s="14" t="s">
        <v>49</v>
      </c>
      <c r="D10" s="13" t="str">
        <f>IFERROR(IF(ISBLANK(INDEX(Beamformer_BFIC!J:J,MATCH("Part No.",Beamformer_BFIC!$B:$B,0))),"",INDEX(Beamformer_BFIC!J:J,MATCH("Part No.",Beamformer_BFIC!$B:$B,0))),"")</f>
        <v>Stampede2731 (HP)</v>
      </c>
      <c r="E10" s="13" t="str">
        <f>IFERROR(IF(ISBLANK(INDEX(Beamformer_BFIC!J:J,MATCH("Manufacturer",Beamformer_BFIC!$B:$B,0))),"",INDEX(Beamformer_BFIC!J:J,MATCH("Manufacturer",Beamformer_BFIC!$B:$B,0))),"")</f>
        <v>Sivers</v>
      </c>
      <c r="F10" s="13" t="str">
        <f>IFERROR(IF(ISBLANK(INDEX(Beamformer_BFIC!J:J,MATCH("Function (Tx / Rx / TRx)",Beamformer_BFIC!$B:$B,0))),"",INDEX(Beamformer_BFIC!J:J,MATCH("Function (Tx / Rx / TRx)",Beamformer_BFIC!$B:$B,0))),"")</f>
        <v>Tx</v>
      </c>
      <c r="G10" s="13" t="str">
        <f>IFERROR(IF(ISBLANK(INDEX(Beamformer_BFIC!J:J,MATCH("Operating Frequency Range",Beamformer_BFIC!$B:$B,0))),"",INDEX(Beamformer_BFIC!J:J,MATCH("Operating Frequency Range",Beamformer_BFIC!$B:$B,0))),"")</f>
        <v>27.5 – 31.0</v>
      </c>
      <c r="H10" s="13" t="str">
        <f>IFERROR(IF(ISBLANK(INDEX(Beamformer_BFIC!J:J,MATCH("Number of Channels (elements)",Beamformer_BFIC!$B:$B,0))),"",INDEX(Beamformer_BFIC!J:J,MATCH("Number of Channels (elements)",Beamformer_BFIC!$B:$B,0))),"")</f>
        <v>8 (4 dual-pol)</v>
      </c>
      <c r="I10" s="13" t="str">
        <f>IFERROR(IF(ISBLANK(INDEX(Beamformer_BFIC!J:J,MATCH("Number of Beams",Beamformer_BFIC!$B:$B,0))),"",INDEX(Beamformer_BFIC!J:J,MATCH("Number of Beams",Beamformer_BFIC!$B:$B,0))),"")</f>
        <v>2</v>
      </c>
      <c r="J10" s="13" t="str">
        <f t="shared" si="0"/>
        <v>●</v>
      </c>
    </row>
    <row r="11" spans="1:10" ht="25.5">
      <c r="A11" s="13" t="s">
        <v>47</v>
      </c>
      <c r="B11" s="13" t="s">
        <v>55</v>
      </c>
      <c r="C11" s="14" t="s">
        <v>49</v>
      </c>
      <c r="D11" s="13" t="str">
        <f>IFERROR(IF(ISBLANK(INDEX(Beamformer_BFIC!K:K,MATCH("Part No.",Beamformer_BFIC!$B:$B,0))),"",INDEX(Beamformer_BFIC!K:K,MATCH("Part No.",Beamformer_BFIC!$B:$B,0))),"")</f>
        <v>BONITO TX-M</v>
      </c>
      <c r="E11" s="13" t="str">
        <f>IFERROR(IF(ISBLANK(INDEX(Beamformer_BFIC!K:K,MATCH("Manufacturer",Beamformer_BFIC!$B:$B,0))),"",INDEX(Beamformer_BFIC!K:K,MATCH("Manufacturer",Beamformer_BFIC!$B:$B,0))),"")</f>
        <v>tiarto</v>
      </c>
      <c r="F11" s="13" t="str">
        <f>IFERROR(IF(ISBLANK(INDEX(Beamformer_BFIC!K:K,MATCH("Function (Tx / Rx / TRx)",Beamformer_BFIC!$B:$B,0))),"",INDEX(Beamformer_BFIC!K:K,MATCH("Function (Tx / Rx / TRx)",Beamformer_BFIC!$B:$B,0))),"")</f>
        <v>Tx</v>
      </c>
      <c r="G11" s="13" t="str">
        <f>IFERROR(IF(ISBLANK(INDEX(Beamformer_BFIC!K:K,MATCH("Operating Frequency Range",Beamformer_BFIC!$B:$B,0))),"",INDEX(Beamformer_BFIC!K:K,MATCH("Operating Frequency Range",Beamformer_BFIC!$B:$B,0))),"")</f>
        <v>27.5 – 31.0</v>
      </c>
      <c r="H11" s="13" t="str">
        <f>IFERROR(IF(ISBLANK(INDEX(Beamformer_BFIC!K:K,MATCH("Number of Channels (elements)",Beamformer_BFIC!$B:$B,0))),"",INDEX(Beamformer_BFIC!K:K,MATCH("Number of Channels (elements)",Beamformer_BFIC!$B:$B,0))),"")</f>
        <v>8 (4 dual-pol)</v>
      </c>
      <c r="I11" s="13" t="str">
        <f>IFERROR(IF(ISBLANK(INDEX(Beamformer_BFIC!K:K,MATCH("Number of Beams",Beamformer_BFIC!$B:$B,0))),"",INDEX(Beamformer_BFIC!K:K,MATCH("Number of Beams",Beamformer_BFIC!$B:$B,0))),"")</f>
        <v>2</v>
      </c>
      <c r="J11" s="13" t="str">
        <f t="shared" si="0"/>
        <v>●</v>
      </c>
    </row>
    <row r="12" spans="1:10" ht="25.5">
      <c r="A12" s="13" t="s">
        <v>47</v>
      </c>
      <c r="B12" s="13" t="s">
        <v>56</v>
      </c>
      <c r="C12" s="14" t="s">
        <v>49</v>
      </c>
      <c r="D12" s="13" t="str">
        <f>IFERROR(IF(ISBLANK(INDEX(Beamformer_BFIC!L:L,MATCH("Part No.",Beamformer_BFIC!$B:$B,0))),"",INDEX(Beamformer_BFIC!L:L,MATCH("Part No.",Beamformer_BFIC!$B:$B,0))),"")</f>
        <v>BONITO RX</v>
      </c>
      <c r="E12" s="13" t="str">
        <f>IFERROR(IF(ISBLANK(INDEX(Beamformer_BFIC!L:L,MATCH("Manufacturer",Beamformer_BFIC!$B:$B,0))),"",INDEX(Beamformer_BFIC!L:L,MATCH("Manufacturer",Beamformer_BFIC!$B:$B,0))),"")</f>
        <v>tiarto</v>
      </c>
      <c r="F12" s="13" t="str">
        <f>IFERROR(IF(ISBLANK(INDEX(Beamformer_BFIC!L:L,MATCH("Function (Tx / Rx / TRx)",Beamformer_BFIC!$B:$B,0))),"",INDEX(Beamformer_BFIC!L:L,MATCH("Function (Tx / Rx / TRx)",Beamformer_BFIC!$B:$B,0))),"")</f>
        <v>Rx</v>
      </c>
      <c r="G12" s="13" t="str">
        <f>IFERROR(IF(ISBLANK(INDEX(Beamformer_BFIC!L:L,MATCH("Operating Frequency Range",Beamformer_BFIC!$B:$B,0))),"",INDEX(Beamformer_BFIC!L:L,MATCH("Operating Frequency Range",Beamformer_BFIC!$B:$B,0))),"")</f>
        <v>17.7 – 21.2</v>
      </c>
      <c r="H12" s="13" t="str">
        <f>IFERROR(IF(ISBLANK(INDEX(Beamformer_BFIC!L:L,MATCH("Number of Channels (elements)",Beamformer_BFIC!$B:$B,0))),"",INDEX(Beamformer_BFIC!L:L,MATCH("Number of Channels (elements)",Beamformer_BFIC!$B:$B,0))),"")</f>
        <v>8 (4 dual-pol)</v>
      </c>
      <c r="I12" s="13" t="str">
        <f>IFERROR(IF(ISBLANK(INDEX(Beamformer_BFIC!L:L,MATCH("Number of Beams",Beamformer_BFIC!$B:$B,0))),"",INDEX(Beamformer_BFIC!L:L,MATCH("Number of Beams",Beamformer_BFIC!$B:$B,0))),"")</f>
        <v>2</v>
      </c>
      <c r="J12" s="13" t="str">
        <f t="shared" si="0"/>
        <v>●</v>
      </c>
    </row>
    <row r="13" spans="1:10" ht="25.5">
      <c r="A13" s="13" t="s">
        <v>47</v>
      </c>
      <c r="B13" s="13" t="s">
        <v>57</v>
      </c>
      <c r="C13" s="15" t="s">
        <v>58</v>
      </c>
      <c r="D13" s="13" t="str">
        <f>IFERROR(IF(ISBLANK(INDEX(Beamformer_BFIC!N:N,MATCH("Part No.",Beamformer_BFIC!$B:$B,0))),"",INDEX(Beamformer_BFIC!N:N,MATCH("Part No.",Beamformer_BFIC!$B:$B,0))),"")</f>
        <v>ADAR3002</v>
      </c>
      <c r="E13" s="13" t="str">
        <f>IFERROR(IF(ISBLANK(INDEX(Beamformer_BFIC!N:N,MATCH("Manufacturer",Beamformer_BFIC!$B:$B,0))),"",INDEX(Beamformer_BFIC!N:N,MATCH("Manufacturer",Beamformer_BFIC!$B:$B,0))),"")</f>
        <v>Analog Devices</v>
      </c>
      <c r="F13" s="13" t="str">
        <f>IFERROR(IF(ISBLANK(INDEX(Beamformer_BFIC!N:N,MATCH("Function (Tx / Rx / TRx)",Beamformer_BFIC!$B:$B,0))),"",INDEX(Beamformer_BFIC!N:N,MATCH("Function (Tx / Rx / TRx)",Beamformer_BFIC!$B:$B,0))),"")</f>
        <v>Rx</v>
      </c>
      <c r="G13" s="13" t="str">
        <f>IFERROR(IF(ISBLANK(INDEX(Beamformer_BFIC!N:N,MATCH("Operating Frequency Range",Beamformer_BFIC!$B:$B,0))),"",INDEX(Beamformer_BFIC!N:N,MATCH("Operating Frequency Range",Beamformer_BFIC!$B:$B,0))),"")</f>
        <v>17.7 – 21.2</v>
      </c>
      <c r="H13" s="13" t="str">
        <f>IFERROR(IF(ISBLANK(INDEX(Beamformer_BFIC!N:N,MATCH("Number of Channels (elements)",Beamformer_BFIC!$B:$B,0))),"",INDEX(Beamformer_BFIC!N:N,MATCH("Number of Channels (elements)",Beamformer_BFIC!$B:$B,0))),"")</f>
        <v>8 elem (16 VAP)</v>
      </c>
      <c r="I13" s="13" t="str">
        <f>IFERROR(IF(ISBLANK(INDEX(Beamformer_BFIC!N:N,MATCH("Number of Beams",Beamformer_BFIC!$B:$B,0))),"",INDEX(Beamformer_BFIC!N:N,MATCH("Number of Beams",Beamformer_BFIC!$B:$B,0))),"")</f>
        <v>2</v>
      </c>
      <c r="J13" s="13" t="str">
        <f t="shared" si="0"/>
        <v>●</v>
      </c>
    </row>
    <row r="14" spans="1:10">
      <c r="A14" s="13" t="s">
        <v>47</v>
      </c>
      <c r="B14" s="13" t="s">
        <v>59</v>
      </c>
      <c r="C14" s="15" t="s">
        <v>58</v>
      </c>
      <c r="D14" s="13" t="str">
        <f>IFERROR(IF(ISBLANK(INDEX(Beamformer_BFIC!O:O,MATCH("Part No.",Beamformer_BFIC!$B:$B,0))),"",INDEX(Beamformer_BFIC!O:O,MATCH("Part No.",Beamformer_BFIC!$B:$B,0))),"")</f>
        <v>ADAR3003</v>
      </c>
      <c r="E14" s="13" t="str">
        <f>IFERROR(IF(ISBLANK(INDEX(Beamformer_BFIC!O:O,MATCH("Manufacturer",Beamformer_BFIC!$B:$B,0))),"",INDEX(Beamformer_BFIC!O:O,MATCH("Manufacturer",Beamformer_BFIC!$B:$B,0))),"")</f>
        <v>Analog Devices</v>
      </c>
      <c r="F14" s="13" t="str">
        <f>IFERROR(IF(ISBLANK(INDEX(Beamformer_BFIC!O:O,MATCH("Function (Tx / Rx / TRx)",Beamformer_BFIC!$B:$B,0))),"",INDEX(Beamformer_BFIC!O:O,MATCH("Function (Tx / Rx / TRx)",Beamformer_BFIC!$B:$B,0))),"")</f>
        <v>Tx</v>
      </c>
      <c r="G14" s="13" t="str">
        <f>IFERROR(IF(ISBLANK(INDEX(Beamformer_BFIC!O:O,MATCH("Operating Frequency Range",Beamformer_BFIC!$B:$B,0))),"",INDEX(Beamformer_BFIC!O:O,MATCH("Operating Frequency Range",Beamformer_BFIC!$B:$B,0))),"")</f>
        <v>27 – 31</v>
      </c>
      <c r="H14" s="13" t="str">
        <f>IFERROR(IF(ISBLANK(INDEX(Beamformer_BFIC!O:O,MATCH("Number of Channels (elements)",Beamformer_BFIC!$B:$B,0))),"",INDEX(Beamformer_BFIC!O:O,MATCH("Number of Channels (elements)",Beamformer_BFIC!$B:$B,0))),"")</f>
        <v>8 VAP</v>
      </c>
      <c r="I14" s="13" t="str">
        <f>IFERROR(IF(ISBLANK(INDEX(Beamformer_BFIC!O:O,MATCH("Number of Beams",Beamformer_BFIC!$B:$B,0))),"",INDEX(Beamformer_BFIC!O:O,MATCH("Number of Beams",Beamformer_BFIC!$B:$B,0))),"")</f>
        <v>1</v>
      </c>
      <c r="J14" s="13" t="str">
        <f t="shared" si="0"/>
        <v>●</v>
      </c>
    </row>
    <row r="15" spans="1:10">
      <c r="A15" s="13" t="s">
        <v>47</v>
      </c>
      <c r="B15" s="13" t="s">
        <v>60</v>
      </c>
      <c r="C15" s="15" t="s">
        <v>58</v>
      </c>
      <c r="D15" s="13" t="str">
        <f>IFERROR(IF(ISBLANK(INDEX(Beamformer_BFIC!P:P,MATCH("Part No.",Beamformer_BFIC!$B:$B,0))),"",INDEX(Beamformer_BFIC!P:P,MATCH("Part No.",Beamformer_BFIC!$B:$B,0))),"")</f>
        <v/>
      </c>
      <c r="E15" s="13" t="str">
        <f>IFERROR(IF(ISBLANK(INDEX(Beamformer_BFIC!P:P,MATCH("Manufacturer",Beamformer_BFIC!$B:$B,0))),"",INDEX(Beamformer_BFIC!P:P,MATCH("Manufacturer",Beamformer_BFIC!$B:$B,0))),"")</f>
        <v/>
      </c>
      <c r="F15" s="13" t="str">
        <f>IFERROR(IF(ISBLANK(INDEX(Beamformer_BFIC!P:P,MATCH("Function (Tx / Rx / TRx)",Beamformer_BFIC!$B:$B,0))),"",INDEX(Beamformer_BFIC!P:P,MATCH("Function (Tx / Rx / TRx)",Beamformer_BFIC!$B:$B,0))),"")</f>
        <v/>
      </c>
      <c r="G15" s="13" t="str">
        <f>IFERROR(IF(ISBLANK(INDEX(Beamformer_BFIC!P:P,MATCH("Operating Frequency Range",Beamformer_BFIC!$B:$B,0))),"",INDEX(Beamformer_BFIC!P:P,MATCH("Operating Frequency Range",Beamformer_BFIC!$B:$B,0))),"")</f>
        <v/>
      </c>
      <c r="H15" s="13" t="str">
        <f>IFERROR(IF(ISBLANK(INDEX(Beamformer_BFIC!P:P,MATCH("Number of Channels (elements)",Beamformer_BFIC!$B:$B,0))),"",INDEX(Beamformer_BFIC!P:P,MATCH("Number of Channels (elements)",Beamformer_BFIC!$B:$B,0))),"")</f>
        <v/>
      </c>
      <c r="I15" s="13" t="str">
        <f>IFERROR(IF(ISBLANK(INDEX(Beamformer_BFIC!P:P,MATCH("Number of Beams",Beamformer_BFIC!$B:$B,0))),"",INDEX(Beamformer_BFIC!P:P,MATCH("Number of Beams",Beamformer_BFIC!$B:$B,0))),"")</f>
        <v/>
      </c>
      <c r="J15" s="13" t="str">
        <f t="shared" si="0"/>
        <v/>
      </c>
    </row>
    <row r="16" spans="1:10">
      <c r="A16" s="13" t="s">
        <v>47</v>
      </c>
      <c r="B16" s="13" t="s">
        <v>61</v>
      </c>
      <c r="C16" s="15" t="s">
        <v>58</v>
      </c>
      <c r="D16" s="13" t="str">
        <f>IFERROR(IF(ISBLANK(INDEX(Beamformer_BFIC!Q:Q,MATCH("Part No.",Beamformer_BFIC!$B:$B,0))),"",INDEX(Beamformer_BFIC!Q:Q,MATCH("Part No.",Beamformer_BFIC!$B:$B,0))),"")</f>
        <v/>
      </c>
      <c r="E16" s="13" t="str">
        <f>IFERROR(IF(ISBLANK(INDEX(Beamformer_BFIC!Q:Q,MATCH("Manufacturer",Beamformer_BFIC!$B:$B,0))),"",INDEX(Beamformer_BFIC!Q:Q,MATCH("Manufacturer",Beamformer_BFIC!$B:$B,0))),"")</f>
        <v/>
      </c>
      <c r="F16" s="13" t="str">
        <f>IFERROR(IF(ISBLANK(INDEX(Beamformer_BFIC!Q:Q,MATCH("Function (Tx / Rx / TRx)",Beamformer_BFIC!$B:$B,0))),"",INDEX(Beamformer_BFIC!Q:Q,MATCH("Function (Tx / Rx / TRx)",Beamformer_BFIC!$B:$B,0))),"")</f>
        <v/>
      </c>
      <c r="G16" s="13" t="str">
        <f>IFERROR(IF(ISBLANK(INDEX(Beamformer_BFIC!Q:Q,MATCH("Operating Frequency Range",Beamformer_BFIC!$B:$B,0))),"",INDEX(Beamformer_BFIC!Q:Q,MATCH("Operating Frequency Range",Beamformer_BFIC!$B:$B,0))),"")</f>
        <v/>
      </c>
      <c r="H16" s="13" t="str">
        <f>IFERROR(IF(ISBLANK(INDEX(Beamformer_BFIC!Q:Q,MATCH("Number of Channels (elements)",Beamformer_BFIC!$B:$B,0))),"",INDEX(Beamformer_BFIC!Q:Q,MATCH("Number of Channels (elements)",Beamformer_BFIC!$B:$B,0))),"")</f>
        <v/>
      </c>
      <c r="I16" s="13" t="str">
        <f>IFERROR(IF(ISBLANK(INDEX(Beamformer_BFIC!Q:Q,MATCH("Number of Beams",Beamformer_BFIC!$B:$B,0))),"",INDEX(Beamformer_BFIC!Q:Q,MATCH("Number of Beams",Beamformer_BFIC!$B:$B,0))),"")</f>
        <v/>
      </c>
      <c r="J16" s="13" t="str">
        <f t="shared" si="0"/>
        <v/>
      </c>
    </row>
    <row r="17" spans="1:10">
      <c r="A17" s="13" t="s">
        <v>47</v>
      </c>
      <c r="B17" s="13" t="s">
        <v>62</v>
      </c>
      <c r="C17" s="15" t="s">
        <v>58</v>
      </c>
      <c r="D17" s="13" t="str">
        <f>IFERROR(IF(ISBLANK(INDEX(Beamformer_BFIC!R:R,MATCH("Part No.",Beamformer_BFIC!$B:$B,0))),"",INDEX(Beamformer_BFIC!R:R,MATCH("Part No.",Beamformer_BFIC!$B:$B,0))),"")</f>
        <v/>
      </c>
      <c r="E17" s="13" t="str">
        <f>IFERROR(IF(ISBLANK(INDEX(Beamformer_BFIC!R:R,MATCH("Manufacturer",Beamformer_BFIC!$B:$B,0))),"",INDEX(Beamformer_BFIC!R:R,MATCH("Manufacturer",Beamformer_BFIC!$B:$B,0))),"")</f>
        <v/>
      </c>
      <c r="F17" s="13" t="str">
        <f>IFERROR(IF(ISBLANK(INDEX(Beamformer_BFIC!R:R,MATCH("Function (Tx / Rx / TRx)",Beamformer_BFIC!$B:$B,0))),"",INDEX(Beamformer_BFIC!R:R,MATCH("Function (Tx / Rx / TRx)",Beamformer_BFIC!$B:$B,0))),"")</f>
        <v/>
      </c>
      <c r="G17" s="13" t="str">
        <f>IFERROR(IF(ISBLANK(INDEX(Beamformer_BFIC!R:R,MATCH("Operating Frequency Range",Beamformer_BFIC!$B:$B,0))),"",INDEX(Beamformer_BFIC!R:R,MATCH("Operating Frequency Range",Beamformer_BFIC!$B:$B,0))),"")</f>
        <v/>
      </c>
      <c r="H17" s="13" t="str">
        <f>IFERROR(IF(ISBLANK(INDEX(Beamformer_BFIC!R:R,MATCH("Number of Channels (elements)",Beamformer_BFIC!$B:$B,0))),"",INDEX(Beamformer_BFIC!R:R,MATCH("Number of Channels (elements)",Beamformer_BFIC!$B:$B,0))),"")</f>
        <v/>
      </c>
      <c r="I17" s="13" t="str">
        <f>IFERROR(IF(ISBLANK(INDEX(Beamformer_BFIC!R:R,MATCH("Number of Beams",Beamformer_BFIC!$B:$B,0))),"",INDEX(Beamformer_BFIC!R:R,MATCH("Number of Beams",Beamformer_BFIC!$B:$B,0))),"")</f>
        <v/>
      </c>
      <c r="J17" s="13" t="str">
        <f t="shared" si="0"/>
        <v/>
      </c>
    </row>
    <row r="18" spans="1:10">
      <c r="A18" s="13" t="s">
        <v>47</v>
      </c>
      <c r="B18" s="13" t="s">
        <v>63</v>
      </c>
      <c r="C18" s="15" t="s">
        <v>58</v>
      </c>
      <c r="D18" s="13" t="str">
        <f>IFERROR(IF(ISBLANK(INDEX(Beamformer_BFIC!S:S,MATCH("Part No.",Beamformer_BFIC!$B:$B,0))),"",INDEX(Beamformer_BFIC!S:S,MATCH("Part No.",Beamformer_BFIC!$B:$B,0))),"")</f>
        <v/>
      </c>
      <c r="E18" s="13" t="str">
        <f>IFERROR(IF(ISBLANK(INDEX(Beamformer_BFIC!S:S,MATCH("Manufacturer",Beamformer_BFIC!$B:$B,0))),"",INDEX(Beamformer_BFIC!S:S,MATCH("Manufacturer",Beamformer_BFIC!$B:$B,0))),"")</f>
        <v/>
      </c>
      <c r="F18" s="13" t="str">
        <f>IFERROR(IF(ISBLANK(INDEX(Beamformer_BFIC!S:S,MATCH("Function (Tx / Rx / TRx)",Beamformer_BFIC!$B:$B,0))),"",INDEX(Beamformer_BFIC!S:S,MATCH("Function (Tx / Rx / TRx)",Beamformer_BFIC!$B:$B,0))),"")</f>
        <v/>
      </c>
      <c r="G18" s="13" t="str">
        <f>IFERROR(IF(ISBLANK(INDEX(Beamformer_BFIC!S:S,MATCH("Operating Frequency Range",Beamformer_BFIC!$B:$B,0))),"",INDEX(Beamformer_BFIC!S:S,MATCH("Operating Frequency Range",Beamformer_BFIC!$B:$B,0))),"")</f>
        <v/>
      </c>
      <c r="H18" s="13" t="str">
        <f>IFERROR(IF(ISBLANK(INDEX(Beamformer_BFIC!S:S,MATCH("Number of Channels (elements)",Beamformer_BFIC!$B:$B,0))),"",INDEX(Beamformer_BFIC!S:S,MATCH("Number of Channels (elements)",Beamformer_BFIC!$B:$B,0))),"")</f>
        <v/>
      </c>
      <c r="I18" s="13" t="str">
        <f>IFERROR(IF(ISBLANK(INDEX(Beamformer_BFIC!S:S,MATCH("Number of Beams",Beamformer_BFIC!$B:$B,0))),"",INDEX(Beamformer_BFIC!S:S,MATCH("Number of Beams",Beamformer_BFIC!$B:$B,0))),"")</f>
        <v/>
      </c>
      <c r="J18" s="13" t="str">
        <f t="shared" si="0"/>
        <v/>
      </c>
    </row>
    <row r="19" spans="1:10">
      <c r="A19" s="13" t="s">
        <v>47</v>
      </c>
      <c r="B19" s="13" t="s">
        <v>64</v>
      </c>
      <c r="C19" s="15" t="s">
        <v>58</v>
      </c>
      <c r="D19" s="13" t="str">
        <f>IFERROR(IF(ISBLANK(INDEX(Beamformer_BFIC!T:T,MATCH("Part No.",Beamformer_BFIC!$B:$B,0))),"",INDEX(Beamformer_BFIC!T:T,MATCH("Part No.",Beamformer_BFIC!$B:$B,0))),"")</f>
        <v/>
      </c>
      <c r="E19" s="13" t="str">
        <f>IFERROR(IF(ISBLANK(INDEX(Beamformer_BFIC!T:T,MATCH("Manufacturer",Beamformer_BFIC!$B:$B,0))),"",INDEX(Beamformer_BFIC!T:T,MATCH("Manufacturer",Beamformer_BFIC!$B:$B,0))),"")</f>
        <v/>
      </c>
      <c r="F19" s="13" t="str">
        <f>IFERROR(IF(ISBLANK(INDEX(Beamformer_BFIC!T:T,MATCH("Function (Tx / Rx / TRx)",Beamformer_BFIC!$B:$B,0))),"",INDEX(Beamformer_BFIC!T:T,MATCH("Function (Tx / Rx / TRx)",Beamformer_BFIC!$B:$B,0))),"")</f>
        <v/>
      </c>
      <c r="G19" s="13" t="str">
        <f>IFERROR(IF(ISBLANK(INDEX(Beamformer_BFIC!T:T,MATCH("Operating Frequency Range",Beamformer_BFIC!$B:$B,0))),"",INDEX(Beamformer_BFIC!T:T,MATCH("Operating Frequency Range",Beamformer_BFIC!$B:$B,0))),"")</f>
        <v/>
      </c>
      <c r="H19" s="13" t="str">
        <f>IFERROR(IF(ISBLANK(INDEX(Beamformer_BFIC!T:T,MATCH("Number of Channels (elements)",Beamformer_BFIC!$B:$B,0))),"",INDEX(Beamformer_BFIC!T:T,MATCH("Number of Channels (elements)",Beamformer_BFIC!$B:$B,0))),"")</f>
        <v/>
      </c>
      <c r="I19" s="13" t="str">
        <f>IFERROR(IF(ISBLANK(INDEX(Beamformer_BFIC!T:T,MATCH("Number of Beams",Beamformer_BFIC!$B:$B,0))),"",INDEX(Beamformer_BFIC!T:T,MATCH("Number of Beams",Beamformer_BFIC!$B:$B,0))),"")</f>
        <v/>
      </c>
      <c r="J19" s="13" t="str">
        <f t="shared" si="0"/>
        <v/>
      </c>
    </row>
    <row r="20" spans="1:10">
      <c r="A20" s="13" t="s">
        <v>47</v>
      </c>
      <c r="B20" s="13" t="s">
        <v>65</v>
      </c>
      <c r="C20" s="15" t="s">
        <v>58</v>
      </c>
      <c r="D20" s="13" t="str">
        <f>IFERROR(IF(ISBLANK(INDEX(Beamformer_BFIC!U:U,MATCH("Part No.",Beamformer_BFIC!$B:$B,0))),"",INDEX(Beamformer_BFIC!U:U,MATCH("Part No.",Beamformer_BFIC!$B:$B,0))),"")</f>
        <v/>
      </c>
      <c r="E20" s="13" t="str">
        <f>IFERROR(IF(ISBLANK(INDEX(Beamformer_BFIC!U:U,MATCH("Manufacturer",Beamformer_BFIC!$B:$B,0))),"",INDEX(Beamformer_BFIC!U:U,MATCH("Manufacturer",Beamformer_BFIC!$B:$B,0))),"")</f>
        <v/>
      </c>
      <c r="F20" s="13" t="str">
        <f>IFERROR(IF(ISBLANK(INDEX(Beamformer_BFIC!U:U,MATCH("Function (Tx / Rx / TRx)",Beamformer_BFIC!$B:$B,0))),"",INDEX(Beamformer_BFIC!U:U,MATCH("Function (Tx / Rx / TRx)",Beamformer_BFIC!$B:$B,0))),"")</f>
        <v/>
      </c>
      <c r="G20" s="13" t="str">
        <f>IFERROR(IF(ISBLANK(INDEX(Beamformer_BFIC!U:U,MATCH("Operating Frequency Range",Beamformer_BFIC!$B:$B,0))),"",INDEX(Beamformer_BFIC!U:U,MATCH("Operating Frequency Range",Beamformer_BFIC!$B:$B,0))),"")</f>
        <v/>
      </c>
      <c r="H20" s="13" t="str">
        <f>IFERROR(IF(ISBLANK(INDEX(Beamformer_BFIC!U:U,MATCH("Number of Channels (elements)",Beamformer_BFIC!$B:$B,0))),"",INDEX(Beamformer_BFIC!U:U,MATCH("Number of Channels (elements)",Beamformer_BFIC!$B:$B,0))),"")</f>
        <v/>
      </c>
      <c r="I20" s="13" t="str">
        <f>IFERROR(IF(ISBLANK(INDEX(Beamformer_BFIC!U:U,MATCH("Number of Beams",Beamformer_BFIC!$B:$B,0))),"",INDEX(Beamformer_BFIC!U:U,MATCH("Number of Beams",Beamformer_BFIC!$B:$B,0))),"")</f>
        <v/>
      </c>
      <c r="J20" s="13" t="str">
        <f t="shared" si="0"/>
        <v/>
      </c>
    </row>
    <row r="21" spans="1:10">
      <c r="A21" s="13" t="s">
        <v>66</v>
      </c>
      <c r="B21" s="13" t="s">
        <v>48</v>
      </c>
      <c r="C21" s="14" t="s">
        <v>49</v>
      </c>
      <c r="D21" s="13" t="str">
        <f>IFERROR(IF(ISBLANK(INDEX(FEM_PA_LNA_Switch!E:E,MATCH("Part No.",FEM_PA_LNA_Switch!$B:$B,0))),"",INDEX(FEM_PA_LNA_Switch!E:E,MATCH("Part No.",FEM_PA_LNA_Switch!$B:$B,0))),"")</f>
        <v/>
      </c>
      <c r="E21" s="13" t="str">
        <f>IFERROR(IF(ISBLANK(INDEX(FEM_PA_LNA_Switch!E:E,MATCH("Manufacturer",FEM_PA_LNA_Switch!$B:$B,0))),"",INDEX(FEM_PA_LNA_Switch!E:E,MATCH("Manufacturer",FEM_PA_LNA_Switch!$B:$B,0))),"")</f>
        <v/>
      </c>
      <c r="F21" s="13" t="str">
        <f>IFERROR(IF(ISBLANK(INDEX(FEM_PA_LNA_Switch!E:E,MATCH("Function (PA / LNA / T/R SW / Integrated FEM)",FEM_PA_LNA_Switch!$B:$B,0))),"",INDEX(FEM_PA_LNA_Switch!E:E,MATCH("Function (PA / LNA / T/R SW / Integrated FEM)",FEM_PA_LNA_Switch!$B:$B,0))),"")</f>
        <v/>
      </c>
      <c r="G21" s="13" t="str">
        <f>IFERROR(IF(ISBLANK(INDEX(FEM_PA_LNA_Switch!E:E,MATCH("Operating Frequency Range",FEM_PA_LNA_Switch!$B:$B,0))),"",INDEX(FEM_PA_LNA_Switch!E:E,MATCH("Operating Frequency Range",FEM_PA_LNA_Switch!$B:$B,0))),"")</f>
        <v/>
      </c>
      <c r="H21" s="13"/>
      <c r="I21" s="13"/>
      <c r="J21" s="13" t="str">
        <f t="shared" si="0"/>
        <v/>
      </c>
    </row>
    <row r="22" spans="1:10">
      <c r="A22" s="13" t="s">
        <v>66</v>
      </c>
      <c r="B22" s="13" t="s">
        <v>50</v>
      </c>
      <c r="C22" s="14" t="s">
        <v>49</v>
      </c>
      <c r="D22" s="13" t="str">
        <f>IFERROR(IF(ISBLANK(INDEX(FEM_PA_LNA_Switch!F:F,MATCH("Part No.",FEM_PA_LNA_Switch!$B:$B,0))),"",INDEX(FEM_PA_LNA_Switch!F:F,MATCH("Part No.",FEM_PA_LNA_Switch!$B:$B,0))),"")</f>
        <v/>
      </c>
      <c r="E22" s="13" t="str">
        <f>IFERROR(IF(ISBLANK(INDEX(FEM_PA_LNA_Switch!F:F,MATCH("Manufacturer",FEM_PA_LNA_Switch!$B:$B,0))),"",INDEX(FEM_PA_LNA_Switch!F:F,MATCH("Manufacturer",FEM_PA_LNA_Switch!$B:$B,0))),"")</f>
        <v/>
      </c>
      <c r="F22" s="13" t="str">
        <f>IFERROR(IF(ISBLANK(INDEX(FEM_PA_LNA_Switch!F:F,MATCH("Function (PA / LNA / T/R SW / Integrated FEM)",FEM_PA_LNA_Switch!$B:$B,0))),"",INDEX(FEM_PA_LNA_Switch!F:F,MATCH("Function (PA / LNA / T/R SW / Integrated FEM)",FEM_PA_LNA_Switch!$B:$B,0))),"")</f>
        <v/>
      </c>
      <c r="G22" s="13" t="str">
        <f>IFERROR(IF(ISBLANK(INDEX(FEM_PA_LNA_Switch!F:F,MATCH("Operating Frequency Range",FEM_PA_LNA_Switch!$B:$B,0))),"",INDEX(FEM_PA_LNA_Switch!F:F,MATCH("Operating Frequency Range",FEM_PA_LNA_Switch!$B:$B,0))),"")</f>
        <v/>
      </c>
      <c r="H22" s="13"/>
      <c r="I22" s="13"/>
      <c r="J22" s="13" t="str">
        <f t="shared" si="0"/>
        <v/>
      </c>
    </row>
    <row r="23" spans="1:10">
      <c r="A23" s="13" t="s">
        <v>66</v>
      </c>
      <c r="B23" s="13" t="s">
        <v>51</v>
      </c>
      <c r="C23" s="14" t="s">
        <v>49</v>
      </c>
      <c r="D23" s="13" t="str">
        <f>IFERROR(IF(ISBLANK(INDEX(FEM_PA_LNA_Switch!G:G,MATCH("Part No.",FEM_PA_LNA_Switch!$B:$B,0))),"",INDEX(FEM_PA_LNA_Switch!G:G,MATCH("Part No.",FEM_PA_LNA_Switch!$B:$B,0))),"")</f>
        <v/>
      </c>
      <c r="E23" s="13" t="str">
        <f>IFERROR(IF(ISBLANK(INDEX(FEM_PA_LNA_Switch!G:G,MATCH("Manufacturer",FEM_PA_LNA_Switch!$B:$B,0))),"",INDEX(FEM_PA_LNA_Switch!G:G,MATCH("Manufacturer",FEM_PA_LNA_Switch!$B:$B,0))),"")</f>
        <v/>
      </c>
      <c r="F23" s="13" t="str">
        <f>IFERROR(IF(ISBLANK(INDEX(FEM_PA_LNA_Switch!G:G,MATCH("Function (PA / LNA / T/R SW / Integrated FEM)",FEM_PA_LNA_Switch!$B:$B,0))),"",INDEX(FEM_PA_LNA_Switch!G:G,MATCH("Function (PA / LNA / T/R SW / Integrated FEM)",FEM_PA_LNA_Switch!$B:$B,0))),"")</f>
        <v/>
      </c>
      <c r="G23" s="13" t="str">
        <f>IFERROR(IF(ISBLANK(INDEX(FEM_PA_LNA_Switch!G:G,MATCH("Operating Frequency Range",FEM_PA_LNA_Switch!$B:$B,0))),"",INDEX(FEM_PA_LNA_Switch!G:G,MATCH("Operating Frequency Range",FEM_PA_LNA_Switch!$B:$B,0))),"")</f>
        <v/>
      </c>
      <c r="H23" s="13"/>
      <c r="I23" s="13"/>
      <c r="J23" s="13" t="str">
        <f t="shared" si="0"/>
        <v/>
      </c>
    </row>
    <row r="24" spans="1:10">
      <c r="A24" s="13" t="s">
        <v>66</v>
      </c>
      <c r="B24" s="13" t="s">
        <v>52</v>
      </c>
      <c r="C24" s="14" t="s">
        <v>49</v>
      </c>
      <c r="D24" s="13" t="str">
        <f>IFERROR(IF(ISBLANK(INDEX(FEM_PA_LNA_Switch!H:H,MATCH("Part No.",FEM_PA_LNA_Switch!$B:$B,0))),"",INDEX(FEM_PA_LNA_Switch!H:H,MATCH("Part No.",FEM_PA_LNA_Switch!$B:$B,0))),"")</f>
        <v/>
      </c>
      <c r="E24" s="13" t="str">
        <f>IFERROR(IF(ISBLANK(INDEX(FEM_PA_LNA_Switch!H:H,MATCH("Manufacturer",FEM_PA_LNA_Switch!$B:$B,0))),"",INDEX(FEM_PA_LNA_Switch!H:H,MATCH("Manufacturer",FEM_PA_LNA_Switch!$B:$B,0))),"")</f>
        <v/>
      </c>
      <c r="F24" s="13" t="str">
        <f>IFERROR(IF(ISBLANK(INDEX(FEM_PA_LNA_Switch!H:H,MATCH("Function (PA / LNA / T/R SW / Integrated FEM)",FEM_PA_LNA_Switch!$B:$B,0))),"",INDEX(FEM_PA_LNA_Switch!H:H,MATCH("Function (PA / LNA / T/R SW / Integrated FEM)",FEM_PA_LNA_Switch!$B:$B,0))),"")</f>
        <v/>
      </c>
      <c r="G24" s="13" t="str">
        <f>IFERROR(IF(ISBLANK(INDEX(FEM_PA_LNA_Switch!H:H,MATCH("Operating Frequency Range",FEM_PA_LNA_Switch!$B:$B,0))),"",INDEX(FEM_PA_LNA_Switch!H:H,MATCH("Operating Frequency Range",FEM_PA_LNA_Switch!$B:$B,0))),"")</f>
        <v/>
      </c>
      <c r="H24" s="13"/>
      <c r="I24" s="13"/>
      <c r="J24" s="13" t="str">
        <f t="shared" si="0"/>
        <v/>
      </c>
    </row>
    <row r="25" spans="1:10">
      <c r="A25" s="13" t="s">
        <v>66</v>
      </c>
      <c r="B25" s="13" t="s">
        <v>53</v>
      </c>
      <c r="C25" s="14" t="s">
        <v>49</v>
      </c>
      <c r="D25" s="13" t="str">
        <f>IFERROR(IF(ISBLANK(INDEX(FEM_PA_LNA_Switch!I:I,MATCH("Part No.",FEM_PA_LNA_Switch!$B:$B,0))),"",INDEX(FEM_PA_LNA_Switch!I:I,MATCH("Part No.",FEM_PA_LNA_Switch!$B:$B,0))),"")</f>
        <v/>
      </c>
      <c r="E25" s="13" t="str">
        <f>IFERROR(IF(ISBLANK(INDEX(FEM_PA_LNA_Switch!I:I,MATCH("Manufacturer",FEM_PA_LNA_Switch!$B:$B,0))),"",INDEX(FEM_PA_LNA_Switch!I:I,MATCH("Manufacturer",FEM_PA_LNA_Switch!$B:$B,0))),"")</f>
        <v/>
      </c>
      <c r="F25" s="13" t="str">
        <f>IFERROR(IF(ISBLANK(INDEX(FEM_PA_LNA_Switch!I:I,MATCH("Function (PA / LNA / T/R SW / Integrated FEM)",FEM_PA_LNA_Switch!$B:$B,0))),"",INDEX(FEM_PA_LNA_Switch!I:I,MATCH("Function (PA / LNA / T/R SW / Integrated FEM)",FEM_PA_LNA_Switch!$B:$B,0))),"")</f>
        <v/>
      </c>
      <c r="G25" s="13" t="str">
        <f>IFERROR(IF(ISBLANK(INDEX(FEM_PA_LNA_Switch!I:I,MATCH("Operating Frequency Range",FEM_PA_LNA_Switch!$B:$B,0))),"",INDEX(FEM_PA_LNA_Switch!I:I,MATCH("Operating Frequency Range",FEM_PA_LNA_Switch!$B:$B,0))),"")</f>
        <v/>
      </c>
      <c r="H25" s="13"/>
      <c r="I25" s="13"/>
      <c r="J25" s="13" t="str">
        <f t="shared" si="0"/>
        <v/>
      </c>
    </row>
    <row r="26" spans="1:10">
      <c r="A26" s="13" t="s">
        <v>66</v>
      </c>
      <c r="B26" s="13" t="s">
        <v>54</v>
      </c>
      <c r="C26" s="14" t="s">
        <v>49</v>
      </c>
      <c r="D26" s="13" t="str">
        <f>IFERROR(IF(ISBLANK(INDEX(FEM_PA_LNA_Switch!J:J,MATCH("Part No.",FEM_PA_LNA_Switch!$B:$B,0))),"",INDEX(FEM_PA_LNA_Switch!J:J,MATCH("Part No.",FEM_PA_LNA_Switch!$B:$B,0))),"")</f>
        <v/>
      </c>
      <c r="E26" s="13" t="str">
        <f>IFERROR(IF(ISBLANK(INDEX(FEM_PA_LNA_Switch!J:J,MATCH("Manufacturer",FEM_PA_LNA_Switch!$B:$B,0))),"",INDEX(FEM_PA_LNA_Switch!J:J,MATCH("Manufacturer",FEM_PA_LNA_Switch!$B:$B,0))),"")</f>
        <v/>
      </c>
      <c r="F26" s="13" t="str">
        <f>IFERROR(IF(ISBLANK(INDEX(FEM_PA_LNA_Switch!J:J,MATCH("Function (PA / LNA / T/R SW / Integrated FEM)",FEM_PA_LNA_Switch!$B:$B,0))),"",INDEX(FEM_PA_LNA_Switch!J:J,MATCH("Function (PA / LNA / T/R SW / Integrated FEM)",FEM_PA_LNA_Switch!$B:$B,0))),"")</f>
        <v/>
      </c>
      <c r="G26" s="13" t="str">
        <f>IFERROR(IF(ISBLANK(INDEX(FEM_PA_LNA_Switch!J:J,MATCH("Operating Frequency Range",FEM_PA_LNA_Switch!$B:$B,0))),"",INDEX(FEM_PA_LNA_Switch!J:J,MATCH("Operating Frequency Range",FEM_PA_LNA_Switch!$B:$B,0))),"")</f>
        <v/>
      </c>
      <c r="H26" s="13"/>
      <c r="I26" s="13"/>
      <c r="J26" s="13" t="str">
        <f t="shared" si="0"/>
        <v/>
      </c>
    </row>
    <row r="27" spans="1:10">
      <c r="A27" s="13" t="s">
        <v>66</v>
      </c>
      <c r="B27" s="13" t="s">
        <v>55</v>
      </c>
      <c r="C27" s="14" t="s">
        <v>49</v>
      </c>
      <c r="D27" s="13" t="str">
        <f>IFERROR(IF(ISBLANK(INDEX(FEM_PA_LNA_Switch!K:K,MATCH("Part No.",FEM_PA_LNA_Switch!$B:$B,0))),"",INDEX(FEM_PA_LNA_Switch!K:K,MATCH("Part No.",FEM_PA_LNA_Switch!$B:$B,0))),"")</f>
        <v/>
      </c>
      <c r="E27" s="13" t="str">
        <f>IFERROR(IF(ISBLANK(INDEX(FEM_PA_LNA_Switch!K:K,MATCH("Manufacturer",FEM_PA_LNA_Switch!$B:$B,0))),"",INDEX(FEM_PA_LNA_Switch!K:K,MATCH("Manufacturer",FEM_PA_LNA_Switch!$B:$B,0))),"")</f>
        <v/>
      </c>
      <c r="F27" s="13" t="str">
        <f>IFERROR(IF(ISBLANK(INDEX(FEM_PA_LNA_Switch!K:K,MATCH("Function (PA / LNA / T/R SW / Integrated FEM)",FEM_PA_LNA_Switch!$B:$B,0))),"",INDEX(FEM_PA_LNA_Switch!K:K,MATCH("Function (PA / LNA / T/R SW / Integrated FEM)",FEM_PA_LNA_Switch!$B:$B,0))),"")</f>
        <v/>
      </c>
      <c r="G27" s="13" t="str">
        <f>IFERROR(IF(ISBLANK(INDEX(FEM_PA_LNA_Switch!K:K,MATCH("Operating Frequency Range",FEM_PA_LNA_Switch!$B:$B,0))),"",INDEX(FEM_PA_LNA_Switch!K:K,MATCH("Operating Frequency Range",FEM_PA_LNA_Switch!$B:$B,0))),"")</f>
        <v/>
      </c>
      <c r="H27" s="13"/>
      <c r="I27" s="13"/>
      <c r="J27" s="13" t="str">
        <f t="shared" si="0"/>
        <v/>
      </c>
    </row>
    <row r="28" spans="1:10">
      <c r="A28" s="13" t="s">
        <v>66</v>
      </c>
      <c r="B28" s="13" t="s">
        <v>56</v>
      </c>
      <c r="C28" s="14" t="s">
        <v>49</v>
      </c>
      <c r="D28" s="13" t="str">
        <f>IFERROR(IF(ISBLANK(INDEX(FEM_PA_LNA_Switch!L:L,MATCH("Part No.",FEM_PA_LNA_Switch!$B:$B,0))),"",INDEX(FEM_PA_LNA_Switch!L:L,MATCH("Part No.",FEM_PA_LNA_Switch!$B:$B,0))),"")</f>
        <v/>
      </c>
      <c r="E28" s="13" t="str">
        <f>IFERROR(IF(ISBLANK(INDEX(FEM_PA_LNA_Switch!L:L,MATCH("Manufacturer",FEM_PA_LNA_Switch!$B:$B,0))),"",INDEX(FEM_PA_LNA_Switch!L:L,MATCH("Manufacturer",FEM_PA_LNA_Switch!$B:$B,0))),"")</f>
        <v/>
      </c>
      <c r="F28" s="13" t="str">
        <f>IFERROR(IF(ISBLANK(INDEX(FEM_PA_LNA_Switch!L:L,MATCH("Function (PA / LNA / T/R SW / Integrated FEM)",FEM_PA_LNA_Switch!$B:$B,0))),"",INDEX(FEM_PA_LNA_Switch!L:L,MATCH("Function (PA / LNA / T/R SW / Integrated FEM)",FEM_PA_LNA_Switch!$B:$B,0))),"")</f>
        <v/>
      </c>
      <c r="G28" s="13" t="str">
        <f>IFERROR(IF(ISBLANK(INDEX(FEM_PA_LNA_Switch!L:L,MATCH("Operating Frequency Range",FEM_PA_LNA_Switch!$B:$B,0))),"",INDEX(FEM_PA_LNA_Switch!L:L,MATCH("Operating Frequency Range",FEM_PA_LNA_Switch!$B:$B,0))),"")</f>
        <v/>
      </c>
      <c r="H28" s="13"/>
      <c r="I28" s="13"/>
      <c r="J28" s="13" t="str">
        <f t="shared" si="0"/>
        <v/>
      </c>
    </row>
    <row r="29" spans="1:10">
      <c r="A29" s="13" t="s">
        <v>66</v>
      </c>
      <c r="B29" s="13" t="s">
        <v>57</v>
      </c>
      <c r="C29" s="15" t="s">
        <v>58</v>
      </c>
      <c r="D29" s="13" t="str">
        <f>IFERROR(IF(ISBLANK(INDEX(FEM_PA_LNA_Switch!N:N,MATCH("Part No.",FEM_PA_LNA_Switch!$B:$B,0))),"",INDEX(FEM_PA_LNA_Switch!N:N,MATCH("Part No.",FEM_PA_LNA_Switch!$B:$B,0))),"")</f>
        <v/>
      </c>
      <c r="E29" s="13" t="str">
        <f>IFERROR(IF(ISBLANK(INDEX(FEM_PA_LNA_Switch!N:N,MATCH("Manufacturer",FEM_PA_LNA_Switch!$B:$B,0))),"",INDEX(FEM_PA_LNA_Switch!N:N,MATCH("Manufacturer",FEM_PA_LNA_Switch!$B:$B,0))),"")</f>
        <v/>
      </c>
      <c r="F29" s="13" t="str">
        <f>IFERROR(IF(ISBLANK(INDEX(FEM_PA_LNA_Switch!N:N,MATCH("Function (PA / LNA / T/R SW / Integrated FEM)",FEM_PA_LNA_Switch!$B:$B,0))),"",INDEX(FEM_PA_LNA_Switch!N:N,MATCH("Function (PA / LNA / T/R SW / Integrated FEM)",FEM_PA_LNA_Switch!$B:$B,0))),"")</f>
        <v/>
      </c>
      <c r="G29" s="13" t="str">
        <f>IFERROR(IF(ISBLANK(INDEX(FEM_PA_LNA_Switch!N:N,MATCH("Operating Frequency Range",FEM_PA_LNA_Switch!$B:$B,0))),"",INDEX(FEM_PA_LNA_Switch!N:N,MATCH("Operating Frequency Range",FEM_PA_LNA_Switch!$B:$B,0))),"")</f>
        <v/>
      </c>
      <c r="H29" s="13"/>
      <c r="I29" s="13"/>
      <c r="J29" s="13" t="str">
        <f t="shared" si="0"/>
        <v/>
      </c>
    </row>
    <row r="30" spans="1:10">
      <c r="A30" s="13" t="s">
        <v>66</v>
      </c>
      <c r="B30" s="13" t="s">
        <v>59</v>
      </c>
      <c r="C30" s="15" t="s">
        <v>58</v>
      </c>
      <c r="D30" s="13" t="str">
        <f>IFERROR(IF(ISBLANK(INDEX(FEM_PA_LNA_Switch!O:O,MATCH("Part No.",FEM_PA_LNA_Switch!$B:$B,0))),"",INDEX(FEM_PA_LNA_Switch!O:O,MATCH("Part No.",FEM_PA_LNA_Switch!$B:$B,0))),"")</f>
        <v/>
      </c>
      <c r="E30" s="13" t="str">
        <f>IFERROR(IF(ISBLANK(INDEX(FEM_PA_LNA_Switch!O:O,MATCH("Manufacturer",FEM_PA_LNA_Switch!$B:$B,0))),"",INDEX(FEM_PA_LNA_Switch!O:O,MATCH("Manufacturer",FEM_PA_LNA_Switch!$B:$B,0))),"")</f>
        <v/>
      </c>
      <c r="F30" s="13" t="str">
        <f>IFERROR(IF(ISBLANK(INDEX(FEM_PA_LNA_Switch!O:O,MATCH("Function (PA / LNA / T/R SW / Integrated FEM)",FEM_PA_LNA_Switch!$B:$B,0))),"",INDEX(FEM_PA_LNA_Switch!O:O,MATCH("Function (PA / LNA / T/R SW / Integrated FEM)",FEM_PA_LNA_Switch!$B:$B,0))),"")</f>
        <v/>
      </c>
      <c r="G30" s="13" t="str">
        <f>IFERROR(IF(ISBLANK(INDEX(FEM_PA_LNA_Switch!O:O,MATCH("Operating Frequency Range",FEM_PA_LNA_Switch!$B:$B,0))),"",INDEX(FEM_PA_LNA_Switch!O:O,MATCH("Operating Frequency Range",FEM_PA_LNA_Switch!$B:$B,0))),"")</f>
        <v/>
      </c>
      <c r="H30" s="13"/>
      <c r="I30" s="13"/>
      <c r="J30" s="13" t="str">
        <f t="shared" si="0"/>
        <v/>
      </c>
    </row>
    <row r="31" spans="1:10">
      <c r="A31" s="13" t="s">
        <v>66</v>
      </c>
      <c r="B31" s="13" t="s">
        <v>60</v>
      </c>
      <c r="C31" s="15" t="s">
        <v>58</v>
      </c>
      <c r="D31" s="13" t="str">
        <f>IFERROR(IF(ISBLANK(INDEX(FEM_PA_LNA_Switch!P:P,MATCH("Part No.",FEM_PA_LNA_Switch!$B:$B,0))),"",INDEX(FEM_PA_LNA_Switch!P:P,MATCH("Part No.",FEM_PA_LNA_Switch!$B:$B,0))),"")</f>
        <v/>
      </c>
      <c r="E31" s="13" t="str">
        <f>IFERROR(IF(ISBLANK(INDEX(FEM_PA_LNA_Switch!P:P,MATCH("Manufacturer",FEM_PA_LNA_Switch!$B:$B,0))),"",INDEX(FEM_PA_LNA_Switch!P:P,MATCH("Manufacturer",FEM_PA_LNA_Switch!$B:$B,0))),"")</f>
        <v/>
      </c>
      <c r="F31" s="13" t="str">
        <f>IFERROR(IF(ISBLANK(INDEX(FEM_PA_LNA_Switch!P:P,MATCH("Function (PA / LNA / T/R SW / Integrated FEM)",FEM_PA_LNA_Switch!$B:$B,0))),"",INDEX(FEM_PA_LNA_Switch!P:P,MATCH("Function (PA / LNA / T/R SW / Integrated FEM)",FEM_PA_LNA_Switch!$B:$B,0))),"")</f>
        <v/>
      </c>
      <c r="G31" s="13" t="str">
        <f>IFERROR(IF(ISBLANK(INDEX(FEM_PA_LNA_Switch!P:P,MATCH("Operating Frequency Range",FEM_PA_LNA_Switch!$B:$B,0))),"",INDEX(FEM_PA_LNA_Switch!P:P,MATCH("Operating Frequency Range",FEM_PA_LNA_Switch!$B:$B,0))),"")</f>
        <v/>
      </c>
      <c r="H31" s="13"/>
      <c r="I31" s="13"/>
      <c r="J31" s="13" t="str">
        <f t="shared" si="0"/>
        <v/>
      </c>
    </row>
    <row r="32" spans="1:10">
      <c r="A32" s="13" t="s">
        <v>66</v>
      </c>
      <c r="B32" s="13" t="s">
        <v>61</v>
      </c>
      <c r="C32" s="15" t="s">
        <v>58</v>
      </c>
      <c r="D32" s="13" t="str">
        <f>IFERROR(IF(ISBLANK(INDEX(FEM_PA_LNA_Switch!Q:Q,MATCH("Part No.",FEM_PA_LNA_Switch!$B:$B,0))),"",INDEX(FEM_PA_LNA_Switch!Q:Q,MATCH("Part No.",FEM_PA_LNA_Switch!$B:$B,0))),"")</f>
        <v/>
      </c>
      <c r="E32" s="13" t="str">
        <f>IFERROR(IF(ISBLANK(INDEX(FEM_PA_LNA_Switch!Q:Q,MATCH("Manufacturer",FEM_PA_LNA_Switch!$B:$B,0))),"",INDEX(FEM_PA_LNA_Switch!Q:Q,MATCH("Manufacturer",FEM_PA_LNA_Switch!$B:$B,0))),"")</f>
        <v/>
      </c>
      <c r="F32" s="13" t="str">
        <f>IFERROR(IF(ISBLANK(INDEX(FEM_PA_LNA_Switch!Q:Q,MATCH("Function (PA / LNA / T/R SW / Integrated FEM)",FEM_PA_LNA_Switch!$B:$B,0))),"",INDEX(FEM_PA_LNA_Switch!Q:Q,MATCH("Function (PA / LNA / T/R SW / Integrated FEM)",FEM_PA_LNA_Switch!$B:$B,0))),"")</f>
        <v/>
      </c>
      <c r="G32" s="13" t="str">
        <f>IFERROR(IF(ISBLANK(INDEX(FEM_PA_LNA_Switch!Q:Q,MATCH("Operating Frequency Range",FEM_PA_LNA_Switch!$B:$B,0))),"",INDEX(FEM_PA_LNA_Switch!Q:Q,MATCH("Operating Frequency Range",FEM_PA_LNA_Switch!$B:$B,0))),"")</f>
        <v/>
      </c>
      <c r="H32" s="13"/>
      <c r="I32" s="13"/>
      <c r="J32" s="13" t="str">
        <f t="shared" si="0"/>
        <v/>
      </c>
    </row>
    <row r="33" spans="1:10">
      <c r="A33" s="13" t="s">
        <v>66</v>
      </c>
      <c r="B33" s="13" t="s">
        <v>62</v>
      </c>
      <c r="C33" s="15" t="s">
        <v>58</v>
      </c>
      <c r="D33" s="13" t="str">
        <f>IFERROR(IF(ISBLANK(INDEX(FEM_PA_LNA_Switch!R:R,MATCH("Part No.",FEM_PA_LNA_Switch!$B:$B,0))),"",INDEX(FEM_PA_LNA_Switch!R:R,MATCH("Part No.",FEM_PA_LNA_Switch!$B:$B,0))),"")</f>
        <v/>
      </c>
      <c r="E33" s="13" t="str">
        <f>IFERROR(IF(ISBLANK(INDEX(FEM_PA_LNA_Switch!R:R,MATCH("Manufacturer",FEM_PA_LNA_Switch!$B:$B,0))),"",INDEX(FEM_PA_LNA_Switch!R:R,MATCH("Manufacturer",FEM_PA_LNA_Switch!$B:$B,0))),"")</f>
        <v/>
      </c>
      <c r="F33" s="13" t="str">
        <f>IFERROR(IF(ISBLANK(INDEX(FEM_PA_LNA_Switch!R:R,MATCH("Function (PA / LNA / T/R SW / Integrated FEM)",FEM_PA_LNA_Switch!$B:$B,0))),"",INDEX(FEM_PA_LNA_Switch!R:R,MATCH("Function (PA / LNA / T/R SW / Integrated FEM)",FEM_PA_LNA_Switch!$B:$B,0))),"")</f>
        <v/>
      </c>
      <c r="G33" s="13" t="str">
        <f>IFERROR(IF(ISBLANK(INDEX(FEM_PA_LNA_Switch!R:R,MATCH("Operating Frequency Range",FEM_PA_LNA_Switch!$B:$B,0))),"",INDEX(FEM_PA_LNA_Switch!R:R,MATCH("Operating Frequency Range",FEM_PA_LNA_Switch!$B:$B,0))),"")</f>
        <v/>
      </c>
      <c r="H33" s="13"/>
      <c r="I33" s="13"/>
      <c r="J33" s="13" t="str">
        <f t="shared" si="0"/>
        <v/>
      </c>
    </row>
    <row r="34" spans="1:10">
      <c r="A34" s="13" t="s">
        <v>66</v>
      </c>
      <c r="B34" s="13" t="s">
        <v>63</v>
      </c>
      <c r="C34" s="15" t="s">
        <v>58</v>
      </c>
      <c r="D34" s="13" t="str">
        <f>IFERROR(IF(ISBLANK(INDEX(FEM_PA_LNA_Switch!S:S,MATCH("Part No.",FEM_PA_LNA_Switch!$B:$B,0))),"",INDEX(FEM_PA_LNA_Switch!S:S,MATCH("Part No.",FEM_PA_LNA_Switch!$B:$B,0))),"")</f>
        <v/>
      </c>
      <c r="E34" s="13" t="str">
        <f>IFERROR(IF(ISBLANK(INDEX(FEM_PA_LNA_Switch!S:S,MATCH("Manufacturer",FEM_PA_LNA_Switch!$B:$B,0))),"",INDEX(FEM_PA_LNA_Switch!S:S,MATCH("Manufacturer",FEM_PA_LNA_Switch!$B:$B,0))),"")</f>
        <v/>
      </c>
      <c r="F34" s="13" t="str">
        <f>IFERROR(IF(ISBLANK(INDEX(FEM_PA_LNA_Switch!S:S,MATCH("Function (PA / LNA / T/R SW / Integrated FEM)",FEM_PA_LNA_Switch!$B:$B,0))),"",INDEX(FEM_PA_LNA_Switch!S:S,MATCH("Function (PA / LNA / T/R SW / Integrated FEM)",FEM_PA_LNA_Switch!$B:$B,0))),"")</f>
        <v/>
      </c>
      <c r="G34" s="13" t="str">
        <f>IFERROR(IF(ISBLANK(INDEX(FEM_PA_LNA_Switch!S:S,MATCH("Operating Frequency Range",FEM_PA_LNA_Switch!$B:$B,0))),"",INDEX(FEM_PA_LNA_Switch!S:S,MATCH("Operating Frequency Range",FEM_PA_LNA_Switch!$B:$B,0))),"")</f>
        <v/>
      </c>
      <c r="H34" s="13"/>
      <c r="I34" s="13"/>
      <c r="J34" s="13" t="str">
        <f t="shared" si="0"/>
        <v/>
      </c>
    </row>
    <row r="35" spans="1:10">
      <c r="A35" s="13" t="s">
        <v>66</v>
      </c>
      <c r="B35" s="13" t="s">
        <v>64</v>
      </c>
      <c r="C35" s="15" t="s">
        <v>58</v>
      </c>
      <c r="D35" s="13" t="str">
        <f>IFERROR(IF(ISBLANK(INDEX(FEM_PA_LNA_Switch!T:T,MATCH("Part No.",FEM_PA_LNA_Switch!$B:$B,0))),"",INDEX(FEM_PA_LNA_Switch!T:T,MATCH("Part No.",FEM_PA_LNA_Switch!$B:$B,0))),"")</f>
        <v/>
      </c>
      <c r="E35" s="13" t="str">
        <f>IFERROR(IF(ISBLANK(INDEX(FEM_PA_LNA_Switch!T:T,MATCH("Manufacturer",FEM_PA_LNA_Switch!$B:$B,0))),"",INDEX(FEM_PA_LNA_Switch!T:T,MATCH("Manufacturer",FEM_PA_LNA_Switch!$B:$B,0))),"")</f>
        <v/>
      </c>
      <c r="F35" s="13" t="str">
        <f>IFERROR(IF(ISBLANK(INDEX(FEM_PA_LNA_Switch!T:T,MATCH("Function (PA / LNA / T/R SW / Integrated FEM)",FEM_PA_LNA_Switch!$B:$B,0))),"",INDEX(FEM_PA_LNA_Switch!T:T,MATCH("Function (PA / LNA / T/R SW / Integrated FEM)",FEM_PA_LNA_Switch!$B:$B,0))),"")</f>
        <v/>
      </c>
      <c r="G35" s="13" t="str">
        <f>IFERROR(IF(ISBLANK(INDEX(FEM_PA_LNA_Switch!T:T,MATCH("Operating Frequency Range",FEM_PA_LNA_Switch!$B:$B,0))),"",INDEX(FEM_PA_LNA_Switch!T:T,MATCH("Operating Frequency Range",FEM_PA_LNA_Switch!$B:$B,0))),"")</f>
        <v/>
      </c>
      <c r="H35" s="13"/>
      <c r="I35" s="13"/>
      <c r="J35" s="13" t="str">
        <f t="shared" si="0"/>
        <v/>
      </c>
    </row>
    <row r="36" spans="1:10">
      <c r="A36" s="13" t="s">
        <v>66</v>
      </c>
      <c r="B36" s="13" t="s">
        <v>65</v>
      </c>
      <c r="C36" s="15" t="s">
        <v>58</v>
      </c>
      <c r="D36" s="13" t="str">
        <f>IFERROR(IF(ISBLANK(INDEX(FEM_PA_LNA_Switch!U:U,MATCH("Part No.",FEM_PA_LNA_Switch!$B:$B,0))),"",INDEX(FEM_PA_LNA_Switch!U:U,MATCH("Part No.",FEM_PA_LNA_Switch!$B:$B,0))),"")</f>
        <v/>
      </c>
      <c r="E36" s="13" t="str">
        <f>IFERROR(IF(ISBLANK(INDEX(FEM_PA_LNA_Switch!U:U,MATCH("Manufacturer",FEM_PA_LNA_Switch!$B:$B,0))),"",INDEX(FEM_PA_LNA_Switch!U:U,MATCH("Manufacturer",FEM_PA_LNA_Switch!$B:$B,0))),"")</f>
        <v/>
      </c>
      <c r="F36" s="13" t="str">
        <f>IFERROR(IF(ISBLANK(INDEX(FEM_PA_LNA_Switch!U:U,MATCH("Function (PA / LNA / T/R SW / Integrated FEM)",FEM_PA_LNA_Switch!$B:$B,0))),"",INDEX(FEM_PA_LNA_Switch!U:U,MATCH("Function (PA / LNA / T/R SW / Integrated FEM)",FEM_PA_LNA_Switch!$B:$B,0))),"")</f>
        <v/>
      </c>
      <c r="G36" s="13" t="str">
        <f>IFERROR(IF(ISBLANK(INDEX(FEM_PA_LNA_Switch!U:U,MATCH("Operating Frequency Range",FEM_PA_LNA_Switch!$B:$B,0))),"",INDEX(FEM_PA_LNA_Switch!U:U,MATCH("Operating Frequency Range",FEM_PA_LNA_Switch!$B:$B,0))),"")</f>
        <v/>
      </c>
      <c r="H36" s="13"/>
      <c r="I36" s="13"/>
      <c r="J36" s="13" t="str">
        <f t="shared" si="0"/>
        <v/>
      </c>
    </row>
    <row r="37" spans="1:10">
      <c r="A37" s="13" t="s">
        <v>67</v>
      </c>
      <c r="B37" s="13" t="s">
        <v>68</v>
      </c>
      <c r="C37" s="16" t="s">
        <v>69</v>
      </c>
      <c r="D37" s="13" t="str">
        <f>IFERROR(IF(ISBLANK(INDEX(Converter_Mixer!E:E,MATCH("Part No.",Converter_Mixer!$B:$B,0))),"",INDEX(Converter_Mixer!E:E,MATCH("Part No.",Converter_Mixer!$B:$B,0))),"")</f>
        <v/>
      </c>
      <c r="E37" s="13" t="str">
        <f>IFERROR(IF(ISBLANK(INDEX(Converter_Mixer!E:E,MATCH("Manufacturer",Converter_Mixer!$B:$B,0))),"",INDEX(Converter_Mixer!E:E,MATCH("Manufacturer",Converter_Mixer!$B:$B,0))),"")</f>
        <v/>
      </c>
      <c r="F37" s="13" t="str">
        <f>IFERROR(IF(ISBLANK(INDEX(Converter_Mixer!E:E,MATCH("Function (Up / Down / IQ Mixer)",Converter_Mixer!$B:$B,0))),"",INDEX(Converter_Mixer!E:E,MATCH("Function (Up / Down / IQ Mixer)",Converter_Mixer!$B:$B,0))),"")</f>
        <v/>
      </c>
      <c r="G37" s="13" t="str">
        <f>IFERROR(IF(ISBLANK(INDEX(Converter_Mixer!E:E,MATCH("RF Frequency Range",Converter_Mixer!$B:$B,0))),"",INDEX(Converter_Mixer!E:E,MATCH("RF Frequency Range",Converter_Mixer!$B:$B,0))),"")</f>
        <v/>
      </c>
      <c r="H37" s="13"/>
      <c r="I37" s="13"/>
      <c r="J37" s="13" t="str">
        <f t="shared" ref="J37:J54" si="1">IF(D37="","","●")</f>
        <v/>
      </c>
    </row>
    <row r="38" spans="1:10">
      <c r="A38" s="13" t="s">
        <v>67</v>
      </c>
      <c r="B38" s="13" t="s">
        <v>70</v>
      </c>
      <c r="C38" s="16" t="s">
        <v>69</v>
      </c>
      <c r="D38" s="13" t="str">
        <f>IFERROR(IF(ISBLANK(INDEX(Converter_Mixer!F:F,MATCH("Part No.",Converter_Mixer!$B:$B,0))),"",INDEX(Converter_Mixer!F:F,MATCH("Part No.",Converter_Mixer!$B:$B,0))),"")</f>
        <v/>
      </c>
      <c r="E38" s="13" t="str">
        <f>IFERROR(IF(ISBLANK(INDEX(Converter_Mixer!F:F,MATCH("Manufacturer",Converter_Mixer!$B:$B,0))),"",INDEX(Converter_Mixer!F:F,MATCH("Manufacturer",Converter_Mixer!$B:$B,0))),"")</f>
        <v/>
      </c>
      <c r="F38" s="13" t="str">
        <f>IFERROR(IF(ISBLANK(INDEX(Converter_Mixer!F:F,MATCH("Function (Up / Down / IQ Mixer)",Converter_Mixer!$B:$B,0))),"",INDEX(Converter_Mixer!F:F,MATCH("Function (Up / Down / IQ Mixer)",Converter_Mixer!$B:$B,0))),"")</f>
        <v/>
      </c>
      <c r="G38" s="13" t="str">
        <f>IFERROR(IF(ISBLANK(INDEX(Converter_Mixer!F:F,MATCH("RF Frequency Range",Converter_Mixer!$B:$B,0))),"",INDEX(Converter_Mixer!F:F,MATCH("RF Frequency Range",Converter_Mixer!$B:$B,0))),"")</f>
        <v/>
      </c>
      <c r="H38" s="13"/>
      <c r="I38" s="13"/>
      <c r="J38" s="13" t="str">
        <f t="shared" si="1"/>
        <v/>
      </c>
    </row>
    <row r="39" spans="1:10">
      <c r="A39" s="13" t="s">
        <v>67</v>
      </c>
      <c r="B39" s="13" t="s">
        <v>71</v>
      </c>
      <c r="C39" s="16" t="s">
        <v>69</v>
      </c>
      <c r="D39" s="13" t="str">
        <f>IFERROR(IF(ISBLANK(INDEX(Converter_Mixer!G:G,MATCH("Part No.",Converter_Mixer!$B:$B,0))),"",INDEX(Converter_Mixer!G:G,MATCH("Part No.",Converter_Mixer!$B:$B,0))),"")</f>
        <v/>
      </c>
      <c r="E39" s="13" t="str">
        <f>IFERROR(IF(ISBLANK(INDEX(Converter_Mixer!G:G,MATCH("Manufacturer",Converter_Mixer!$B:$B,0))),"",INDEX(Converter_Mixer!G:G,MATCH("Manufacturer",Converter_Mixer!$B:$B,0))),"")</f>
        <v/>
      </c>
      <c r="F39" s="13" t="str">
        <f>IFERROR(IF(ISBLANK(INDEX(Converter_Mixer!G:G,MATCH("Function (Up / Down / IQ Mixer)",Converter_Mixer!$B:$B,0))),"",INDEX(Converter_Mixer!G:G,MATCH("Function (Up / Down / IQ Mixer)",Converter_Mixer!$B:$B,0))),"")</f>
        <v/>
      </c>
      <c r="G39" s="13" t="str">
        <f>IFERROR(IF(ISBLANK(INDEX(Converter_Mixer!G:G,MATCH("RF Frequency Range",Converter_Mixer!$B:$B,0))),"",INDEX(Converter_Mixer!G:G,MATCH("RF Frequency Range",Converter_Mixer!$B:$B,0))),"")</f>
        <v/>
      </c>
      <c r="H39" s="13"/>
      <c r="I39" s="13"/>
      <c r="J39" s="13" t="str">
        <f t="shared" si="1"/>
        <v/>
      </c>
    </row>
    <row r="40" spans="1:10">
      <c r="A40" s="13" t="s">
        <v>67</v>
      </c>
      <c r="B40" s="13" t="s">
        <v>72</v>
      </c>
      <c r="C40" s="16" t="s">
        <v>69</v>
      </c>
      <c r="D40" s="13" t="str">
        <f>IFERROR(IF(ISBLANK(INDEX(Converter_Mixer!H:H,MATCH("Part No.",Converter_Mixer!$B:$B,0))),"",INDEX(Converter_Mixer!H:H,MATCH("Part No.",Converter_Mixer!$B:$B,0))),"")</f>
        <v/>
      </c>
      <c r="E40" s="13" t="str">
        <f>IFERROR(IF(ISBLANK(INDEX(Converter_Mixer!H:H,MATCH("Manufacturer",Converter_Mixer!$B:$B,0))),"",INDEX(Converter_Mixer!H:H,MATCH("Manufacturer",Converter_Mixer!$B:$B,0))),"")</f>
        <v/>
      </c>
      <c r="F40" s="13" t="str">
        <f>IFERROR(IF(ISBLANK(INDEX(Converter_Mixer!H:H,MATCH("Function (Up / Down / IQ Mixer)",Converter_Mixer!$B:$B,0))),"",INDEX(Converter_Mixer!H:H,MATCH("Function (Up / Down / IQ Mixer)",Converter_Mixer!$B:$B,0))),"")</f>
        <v/>
      </c>
      <c r="G40" s="13" t="str">
        <f>IFERROR(IF(ISBLANK(INDEX(Converter_Mixer!H:H,MATCH("RF Frequency Range",Converter_Mixer!$B:$B,0))),"",INDEX(Converter_Mixer!H:H,MATCH("RF Frequency Range",Converter_Mixer!$B:$B,0))),"")</f>
        <v/>
      </c>
      <c r="H40" s="13"/>
      <c r="I40" s="13"/>
      <c r="J40" s="13" t="str">
        <f t="shared" si="1"/>
        <v/>
      </c>
    </row>
    <row r="41" spans="1:10">
      <c r="A41" s="13" t="s">
        <v>67</v>
      </c>
      <c r="B41" s="13" t="s">
        <v>73</v>
      </c>
      <c r="C41" s="16" t="s">
        <v>69</v>
      </c>
      <c r="D41" s="13" t="str">
        <f>IFERROR(IF(ISBLANK(INDEX(Converter_Mixer!I:I,MATCH("Part No.",Converter_Mixer!$B:$B,0))),"",INDEX(Converter_Mixer!I:I,MATCH("Part No.",Converter_Mixer!$B:$B,0))),"")</f>
        <v/>
      </c>
      <c r="E41" s="13" t="str">
        <f>IFERROR(IF(ISBLANK(INDEX(Converter_Mixer!I:I,MATCH("Manufacturer",Converter_Mixer!$B:$B,0))),"",INDEX(Converter_Mixer!I:I,MATCH("Manufacturer",Converter_Mixer!$B:$B,0))),"")</f>
        <v/>
      </c>
      <c r="F41" s="13" t="str">
        <f>IFERROR(IF(ISBLANK(INDEX(Converter_Mixer!I:I,MATCH("Function (Up / Down / IQ Mixer)",Converter_Mixer!$B:$B,0))),"",INDEX(Converter_Mixer!I:I,MATCH("Function (Up / Down / IQ Mixer)",Converter_Mixer!$B:$B,0))),"")</f>
        <v/>
      </c>
      <c r="G41" s="13" t="str">
        <f>IFERROR(IF(ISBLANK(INDEX(Converter_Mixer!I:I,MATCH("RF Frequency Range",Converter_Mixer!$B:$B,0))),"",INDEX(Converter_Mixer!I:I,MATCH("RF Frequency Range",Converter_Mixer!$B:$B,0))),"")</f>
        <v/>
      </c>
      <c r="H41" s="13"/>
      <c r="I41" s="13"/>
      <c r="J41" s="13" t="str">
        <f t="shared" si="1"/>
        <v/>
      </c>
    </row>
    <row r="42" spans="1:10">
      <c r="A42" s="13" t="s">
        <v>67</v>
      </c>
      <c r="B42" s="13" t="s">
        <v>74</v>
      </c>
      <c r="C42" s="16" t="s">
        <v>69</v>
      </c>
      <c r="D42" s="13" t="str">
        <f>IFERROR(IF(ISBLANK(INDEX(Converter_Mixer!J:J,MATCH("Part No.",Converter_Mixer!$B:$B,0))),"",INDEX(Converter_Mixer!J:J,MATCH("Part No.",Converter_Mixer!$B:$B,0))),"")</f>
        <v/>
      </c>
      <c r="E42" s="13" t="str">
        <f>IFERROR(IF(ISBLANK(INDEX(Converter_Mixer!J:J,MATCH("Manufacturer",Converter_Mixer!$B:$B,0))),"",INDEX(Converter_Mixer!J:J,MATCH("Manufacturer",Converter_Mixer!$B:$B,0))),"")</f>
        <v/>
      </c>
      <c r="F42" s="13" t="str">
        <f>IFERROR(IF(ISBLANK(INDEX(Converter_Mixer!J:J,MATCH("Function (Up / Down / IQ Mixer)",Converter_Mixer!$B:$B,0))),"",INDEX(Converter_Mixer!J:J,MATCH("Function (Up / Down / IQ Mixer)",Converter_Mixer!$B:$B,0))),"")</f>
        <v/>
      </c>
      <c r="G42" s="13" t="str">
        <f>IFERROR(IF(ISBLANK(INDEX(Converter_Mixer!J:J,MATCH("RF Frequency Range",Converter_Mixer!$B:$B,0))),"",INDEX(Converter_Mixer!J:J,MATCH("RF Frequency Range",Converter_Mixer!$B:$B,0))),"")</f>
        <v/>
      </c>
      <c r="H42" s="13"/>
      <c r="I42" s="13"/>
      <c r="J42" s="13" t="str">
        <f t="shared" si="1"/>
        <v/>
      </c>
    </row>
    <row r="43" spans="1:10">
      <c r="A43" s="13" t="s">
        <v>75</v>
      </c>
      <c r="B43" s="13" t="s">
        <v>68</v>
      </c>
      <c r="C43" s="16" t="s">
        <v>69</v>
      </c>
      <c r="D43" s="13" t="str">
        <f>IFERROR(IF(ISBLANK(INDEX(PLL_Synthesizer!E:E,MATCH("Part No.",PLL_Synthesizer!$B:$B,0))),"",INDEX(PLL_Synthesizer!E:E,MATCH("Part No.",PLL_Synthesizer!$B:$B,0))),"")</f>
        <v/>
      </c>
      <c r="E43" s="13" t="str">
        <f>IFERROR(IF(ISBLANK(INDEX(PLL_Synthesizer!E:E,MATCH("Manufacturer",PLL_Synthesizer!$B:$B,0))),"",INDEX(PLL_Synthesizer!E:E,MATCH("Manufacturer",PLL_Synthesizer!$B:$B,0))),"")</f>
        <v/>
      </c>
      <c r="F43" s="13" t="str">
        <f>IFERROR(IF(ISBLANK(INDEX(PLL_Synthesizer!E:E,MATCH("Function (Int-N / Frac-N)",PLL_Synthesizer!$B:$B,0))),"",INDEX(PLL_Synthesizer!E:E,MATCH("Function (Int-N / Frac-N)",PLL_Synthesizer!$B:$B,0))),"")</f>
        <v/>
      </c>
      <c r="G43" s="13" t="str">
        <f>IFERROR(IF(ISBLANK(INDEX(PLL_Synthesizer!E:E,MATCH("Output Frequency Range",PLL_Synthesizer!$B:$B,0))),"",INDEX(PLL_Synthesizer!E:E,MATCH("Output Frequency Range",PLL_Synthesizer!$B:$B,0))),"")</f>
        <v/>
      </c>
      <c r="H43" s="13"/>
      <c r="I43" s="13"/>
      <c r="J43" s="13" t="str">
        <f t="shared" si="1"/>
        <v/>
      </c>
    </row>
    <row r="44" spans="1:10">
      <c r="A44" s="13" t="s">
        <v>75</v>
      </c>
      <c r="B44" s="13" t="s">
        <v>70</v>
      </c>
      <c r="C44" s="16" t="s">
        <v>69</v>
      </c>
      <c r="D44" s="13" t="str">
        <f>IFERROR(IF(ISBLANK(INDEX(PLL_Synthesizer!F:F,MATCH("Part No.",PLL_Synthesizer!$B:$B,0))),"",INDEX(PLL_Synthesizer!F:F,MATCH("Part No.",PLL_Synthesizer!$B:$B,0))),"")</f>
        <v/>
      </c>
      <c r="E44" s="13" t="str">
        <f>IFERROR(IF(ISBLANK(INDEX(PLL_Synthesizer!F:F,MATCH("Manufacturer",PLL_Synthesizer!$B:$B,0))),"",INDEX(PLL_Synthesizer!F:F,MATCH("Manufacturer",PLL_Synthesizer!$B:$B,0))),"")</f>
        <v/>
      </c>
      <c r="F44" s="13" t="str">
        <f>IFERROR(IF(ISBLANK(INDEX(PLL_Synthesizer!F:F,MATCH("Function (Int-N / Frac-N)",PLL_Synthesizer!$B:$B,0))),"",INDEX(PLL_Synthesizer!F:F,MATCH("Function (Int-N / Frac-N)",PLL_Synthesizer!$B:$B,0))),"")</f>
        <v/>
      </c>
      <c r="G44" s="13" t="str">
        <f>IFERROR(IF(ISBLANK(INDEX(PLL_Synthesizer!F:F,MATCH("Output Frequency Range",PLL_Synthesizer!$B:$B,0))),"",INDEX(PLL_Synthesizer!F:F,MATCH("Output Frequency Range",PLL_Synthesizer!$B:$B,0))),"")</f>
        <v/>
      </c>
      <c r="H44" s="13"/>
      <c r="I44" s="13"/>
      <c r="J44" s="13" t="str">
        <f t="shared" si="1"/>
        <v/>
      </c>
    </row>
    <row r="45" spans="1:10">
      <c r="A45" s="13" t="s">
        <v>75</v>
      </c>
      <c r="B45" s="13" t="s">
        <v>71</v>
      </c>
      <c r="C45" s="16" t="s">
        <v>69</v>
      </c>
      <c r="D45" s="13" t="str">
        <f>IFERROR(IF(ISBLANK(INDEX(PLL_Synthesizer!G:G,MATCH("Part No.",PLL_Synthesizer!$B:$B,0))),"",INDEX(PLL_Synthesizer!G:G,MATCH("Part No.",PLL_Synthesizer!$B:$B,0))),"")</f>
        <v/>
      </c>
      <c r="E45" s="13" t="str">
        <f>IFERROR(IF(ISBLANK(INDEX(PLL_Synthesizer!G:G,MATCH("Manufacturer",PLL_Synthesizer!$B:$B,0))),"",INDEX(PLL_Synthesizer!G:G,MATCH("Manufacturer",PLL_Synthesizer!$B:$B,0))),"")</f>
        <v/>
      </c>
      <c r="F45" s="13" t="str">
        <f>IFERROR(IF(ISBLANK(INDEX(PLL_Synthesizer!G:G,MATCH("Function (Int-N / Frac-N)",PLL_Synthesizer!$B:$B,0))),"",INDEX(PLL_Synthesizer!G:G,MATCH("Function (Int-N / Frac-N)",PLL_Synthesizer!$B:$B,0))),"")</f>
        <v/>
      </c>
      <c r="G45" s="13" t="str">
        <f>IFERROR(IF(ISBLANK(INDEX(PLL_Synthesizer!G:G,MATCH("Output Frequency Range",PLL_Synthesizer!$B:$B,0))),"",INDEX(PLL_Synthesizer!G:G,MATCH("Output Frequency Range",PLL_Synthesizer!$B:$B,0))),"")</f>
        <v/>
      </c>
      <c r="H45" s="13"/>
      <c r="I45" s="13"/>
      <c r="J45" s="13" t="str">
        <f t="shared" si="1"/>
        <v/>
      </c>
    </row>
    <row r="46" spans="1:10">
      <c r="A46" s="13" t="s">
        <v>75</v>
      </c>
      <c r="B46" s="13" t="s">
        <v>72</v>
      </c>
      <c r="C46" s="16" t="s">
        <v>69</v>
      </c>
      <c r="D46" s="13" t="str">
        <f>IFERROR(IF(ISBLANK(INDEX(PLL_Synthesizer!H:H,MATCH("Part No.",PLL_Synthesizer!$B:$B,0))),"",INDEX(PLL_Synthesizer!H:H,MATCH("Part No.",PLL_Synthesizer!$B:$B,0))),"")</f>
        <v/>
      </c>
      <c r="E46" s="13" t="str">
        <f>IFERROR(IF(ISBLANK(INDEX(PLL_Synthesizer!H:H,MATCH("Manufacturer",PLL_Synthesizer!$B:$B,0))),"",INDEX(PLL_Synthesizer!H:H,MATCH("Manufacturer",PLL_Synthesizer!$B:$B,0))),"")</f>
        <v/>
      </c>
      <c r="F46" s="13" t="str">
        <f>IFERROR(IF(ISBLANK(INDEX(PLL_Synthesizer!H:H,MATCH("Function (Int-N / Frac-N)",PLL_Synthesizer!$B:$B,0))),"",INDEX(PLL_Synthesizer!H:H,MATCH("Function (Int-N / Frac-N)",PLL_Synthesizer!$B:$B,0))),"")</f>
        <v/>
      </c>
      <c r="G46" s="13" t="str">
        <f>IFERROR(IF(ISBLANK(INDEX(PLL_Synthesizer!H:H,MATCH("Output Frequency Range",PLL_Synthesizer!$B:$B,0))),"",INDEX(PLL_Synthesizer!H:H,MATCH("Output Frequency Range",PLL_Synthesizer!$B:$B,0))),"")</f>
        <v/>
      </c>
      <c r="H46" s="13"/>
      <c r="I46" s="13"/>
      <c r="J46" s="13" t="str">
        <f t="shared" si="1"/>
        <v/>
      </c>
    </row>
    <row r="47" spans="1:10">
      <c r="A47" s="13" t="s">
        <v>75</v>
      </c>
      <c r="B47" s="13" t="s">
        <v>73</v>
      </c>
      <c r="C47" s="16" t="s">
        <v>69</v>
      </c>
      <c r="D47" s="13" t="str">
        <f>IFERROR(IF(ISBLANK(INDEX(PLL_Synthesizer!I:I,MATCH("Part No.",PLL_Synthesizer!$B:$B,0))),"",INDEX(PLL_Synthesizer!I:I,MATCH("Part No.",PLL_Synthesizer!$B:$B,0))),"")</f>
        <v/>
      </c>
      <c r="E47" s="13" t="str">
        <f>IFERROR(IF(ISBLANK(INDEX(PLL_Synthesizer!I:I,MATCH("Manufacturer",PLL_Synthesizer!$B:$B,0))),"",INDEX(PLL_Synthesizer!I:I,MATCH("Manufacturer",PLL_Synthesizer!$B:$B,0))),"")</f>
        <v/>
      </c>
      <c r="F47" s="13" t="str">
        <f>IFERROR(IF(ISBLANK(INDEX(PLL_Synthesizer!I:I,MATCH("Function (Int-N / Frac-N)",PLL_Synthesizer!$B:$B,0))),"",INDEX(PLL_Synthesizer!I:I,MATCH("Function (Int-N / Frac-N)",PLL_Synthesizer!$B:$B,0))),"")</f>
        <v/>
      </c>
      <c r="G47" s="13" t="str">
        <f>IFERROR(IF(ISBLANK(INDEX(PLL_Synthesizer!I:I,MATCH("Output Frequency Range",PLL_Synthesizer!$B:$B,0))),"",INDEX(PLL_Synthesizer!I:I,MATCH("Output Frequency Range",PLL_Synthesizer!$B:$B,0))),"")</f>
        <v/>
      </c>
      <c r="H47" s="13"/>
      <c r="I47" s="13"/>
      <c r="J47" s="13" t="str">
        <f t="shared" si="1"/>
        <v/>
      </c>
    </row>
    <row r="48" spans="1:10">
      <c r="A48" s="13" t="s">
        <v>75</v>
      </c>
      <c r="B48" s="13" t="s">
        <v>74</v>
      </c>
      <c r="C48" s="16" t="s">
        <v>69</v>
      </c>
      <c r="D48" s="13" t="str">
        <f>IFERROR(IF(ISBLANK(INDEX(PLL_Synthesizer!J:J,MATCH("Part No.",PLL_Synthesizer!$B:$B,0))),"",INDEX(PLL_Synthesizer!J:J,MATCH("Part No.",PLL_Synthesizer!$B:$B,0))),"")</f>
        <v/>
      </c>
      <c r="E48" s="13" t="str">
        <f>IFERROR(IF(ISBLANK(INDEX(PLL_Synthesizer!J:J,MATCH("Manufacturer",PLL_Synthesizer!$B:$B,0))),"",INDEX(PLL_Synthesizer!J:J,MATCH("Manufacturer",PLL_Synthesizer!$B:$B,0))),"")</f>
        <v/>
      </c>
      <c r="F48" s="13" t="str">
        <f>IFERROR(IF(ISBLANK(INDEX(PLL_Synthesizer!J:J,MATCH("Function (Int-N / Frac-N)",PLL_Synthesizer!$B:$B,0))),"",INDEX(PLL_Synthesizer!J:J,MATCH("Function (Int-N / Frac-N)",PLL_Synthesizer!$B:$B,0))),"")</f>
        <v/>
      </c>
      <c r="G48" s="13" t="str">
        <f>IFERROR(IF(ISBLANK(INDEX(PLL_Synthesizer!J:J,MATCH("Output Frequency Range",PLL_Synthesizer!$B:$B,0))),"",INDEX(PLL_Synthesizer!J:J,MATCH("Output Frequency Range",PLL_Synthesizer!$B:$B,0))),"")</f>
        <v/>
      </c>
      <c r="H48" s="13"/>
      <c r="I48" s="13"/>
      <c r="J48" s="13" t="str">
        <f t="shared" si="1"/>
        <v/>
      </c>
    </row>
    <row r="49" spans="1:10">
      <c r="A49" s="13" t="s">
        <v>76</v>
      </c>
      <c r="B49" s="13" t="s">
        <v>68</v>
      </c>
      <c r="C49" s="16" t="s">
        <v>69</v>
      </c>
      <c r="D49" s="13" t="str">
        <f>IFERROR(IF(ISBLANK(INDEX(DataConverter_ADC_DAC!E:E,MATCH("Part No.",DataConverter_ADC_DAC!$B:$B,0))),"",INDEX(DataConverter_ADC_DAC!E:E,MATCH("Part No.",DataConverter_ADC_DAC!$B:$B,0))),"")</f>
        <v/>
      </c>
      <c r="E49" s="13" t="str">
        <f>IFERROR(IF(ISBLANK(INDEX(DataConverter_ADC_DAC!E:E,MATCH("Manufacturer",DataConverter_ADC_DAC!$B:$B,0))),"",INDEX(DataConverter_ADC_DAC!E:E,MATCH("Manufacturer",DataConverter_ADC_DAC!$B:$B,0))),"")</f>
        <v/>
      </c>
      <c r="F49" s="13" t="str">
        <f>IFERROR(IF(ISBLANK(INDEX(DataConverter_ADC_DAC!E:E,MATCH("Function (ADC / DAC / RF-Sampling)",DataConverter_ADC_DAC!$B:$B,0))),"",INDEX(DataConverter_ADC_DAC!E:E,MATCH("Function (ADC / DAC / RF-Sampling)",DataConverter_ADC_DAC!$B:$B,0))),"")</f>
        <v/>
      </c>
      <c r="G49" s="13"/>
      <c r="H49" s="13" t="str">
        <f>IFERROR(IF(ISBLANK(INDEX(DataConverter_ADC_DAC!E:E,MATCH("Number of Channels",DataConverter_ADC_DAC!$B:$B,0))),"",INDEX(DataConverter_ADC_DAC!E:E,MATCH("Number of Channels",DataConverter_ADC_DAC!$B:$B,0))),"")</f>
        <v/>
      </c>
      <c r="I49" s="13"/>
      <c r="J49" s="13" t="str">
        <f t="shared" si="1"/>
        <v/>
      </c>
    </row>
    <row r="50" spans="1:10">
      <c r="A50" s="13" t="s">
        <v>76</v>
      </c>
      <c r="B50" s="13" t="s">
        <v>70</v>
      </c>
      <c r="C50" s="16" t="s">
        <v>69</v>
      </c>
      <c r="D50" s="13" t="str">
        <f>IFERROR(IF(ISBLANK(INDEX(DataConverter_ADC_DAC!F:F,MATCH("Part No.",DataConverter_ADC_DAC!$B:$B,0))),"",INDEX(DataConverter_ADC_DAC!F:F,MATCH("Part No.",DataConverter_ADC_DAC!$B:$B,0))),"")</f>
        <v/>
      </c>
      <c r="E50" s="13" t="str">
        <f>IFERROR(IF(ISBLANK(INDEX(DataConverter_ADC_DAC!F:F,MATCH("Manufacturer",DataConverter_ADC_DAC!$B:$B,0))),"",INDEX(DataConverter_ADC_DAC!F:F,MATCH("Manufacturer",DataConverter_ADC_DAC!$B:$B,0))),"")</f>
        <v/>
      </c>
      <c r="F50" s="13" t="str">
        <f>IFERROR(IF(ISBLANK(INDEX(DataConverter_ADC_DAC!F:F,MATCH("Function (ADC / DAC / RF-Sampling)",DataConverter_ADC_DAC!$B:$B,0))),"",INDEX(DataConverter_ADC_DAC!F:F,MATCH("Function (ADC / DAC / RF-Sampling)",DataConverter_ADC_DAC!$B:$B,0))),"")</f>
        <v/>
      </c>
      <c r="G50" s="13"/>
      <c r="H50" s="13" t="str">
        <f>IFERROR(IF(ISBLANK(INDEX(DataConverter_ADC_DAC!F:F,MATCH("Number of Channels",DataConverter_ADC_DAC!$B:$B,0))),"",INDEX(DataConverter_ADC_DAC!F:F,MATCH("Number of Channels",DataConverter_ADC_DAC!$B:$B,0))),"")</f>
        <v/>
      </c>
      <c r="I50" s="13"/>
      <c r="J50" s="13" t="str">
        <f t="shared" si="1"/>
        <v/>
      </c>
    </row>
    <row r="51" spans="1:10">
      <c r="A51" s="13" t="s">
        <v>76</v>
      </c>
      <c r="B51" s="13" t="s">
        <v>71</v>
      </c>
      <c r="C51" s="16" t="s">
        <v>69</v>
      </c>
      <c r="D51" s="13" t="str">
        <f>IFERROR(IF(ISBLANK(INDEX(DataConverter_ADC_DAC!G:G,MATCH("Part No.",DataConverter_ADC_DAC!$B:$B,0))),"",INDEX(DataConverter_ADC_DAC!G:G,MATCH("Part No.",DataConverter_ADC_DAC!$B:$B,0))),"")</f>
        <v/>
      </c>
      <c r="E51" s="13" t="str">
        <f>IFERROR(IF(ISBLANK(INDEX(DataConverter_ADC_DAC!G:G,MATCH("Manufacturer",DataConverter_ADC_DAC!$B:$B,0))),"",INDEX(DataConverter_ADC_DAC!G:G,MATCH("Manufacturer",DataConverter_ADC_DAC!$B:$B,0))),"")</f>
        <v/>
      </c>
      <c r="F51" s="13" t="str">
        <f>IFERROR(IF(ISBLANK(INDEX(DataConverter_ADC_DAC!G:G,MATCH("Function (ADC / DAC / RF-Sampling)",DataConverter_ADC_DAC!$B:$B,0))),"",INDEX(DataConverter_ADC_DAC!G:G,MATCH("Function (ADC / DAC / RF-Sampling)",DataConverter_ADC_DAC!$B:$B,0))),"")</f>
        <v/>
      </c>
      <c r="G51" s="13"/>
      <c r="H51" s="13" t="str">
        <f>IFERROR(IF(ISBLANK(INDEX(DataConverter_ADC_DAC!G:G,MATCH("Number of Channels",DataConverter_ADC_DAC!$B:$B,0))),"",INDEX(DataConverter_ADC_DAC!G:G,MATCH("Number of Channels",DataConverter_ADC_DAC!$B:$B,0))),"")</f>
        <v/>
      </c>
      <c r="I51" s="13"/>
      <c r="J51" s="13" t="str">
        <f t="shared" si="1"/>
        <v/>
      </c>
    </row>
    <row r="52" spans="1:10">
      <c r="A52" s="13" t="s">
        <v>76</v>
      </c>
      <c r="B52" s="13" t="s">
        <v>72</v>
      </c>
      <c r="C52" s="16" t="s">
        <v>69</v>
      </c>
      <c r="D52" s="13" t="str">
        <f>IFERROR(IF(ISBLANK(INDEX(DataConverter_ADC_DAC!H:H,MATCH("Part No.",DataConverter_ADC_DAC!$B:$B,0))),"",INDEX(DataConverter_ADC_DAC!H:H,MATCH("Part No.",DataConverter_ADC_DAC!$B:$B,0))),"")</f>
        <v/>
      </c>
      <c r="E52" s="13" t="str">
        <f>IFERROR(IF(ISBLANK(INDEX(DataConverter_ADC_DAC!H:H,MATCH("Manufacturer",DataConverter_ADC_DAC!$B:$B,0))),"",INDEX(DataConverter_ADC_DAC!H:H,MATCH("Manufacturer",DataConverter_ADC_DAC!$B:$B,0))),"")</f>
        <v/>
      </c>
      <c r="F52" s="13" t="str">
        <f>IFERROR(IF(ISBLANK(INDEX(DataConverter_ADC_DAC!H:H,MATCH("Function (ADC / DAC / RF-Sampling)",DataConverter_ADC_DAC!$B:$B,0))),"",INDEX(DataConverter_ADC_DAC!H:H,MATCH("Function (ADC / DAC / RF-Sampling)",DataConverter_ADC_DAC!$B:$B,0))),"")</f>
        <v/>
      </c>
      <c r="G52" s="13"/>
      <c r="H52" s="13" t="str">
        <f>IFERROR(IF(ISBLANK(INDEX(DataConverter_ADC_DAC!H:H,MATCH("Number of Channels",DataConverter_ADC_DAC!$B:$B,0))),"",INDEX(DataConverter_ADC_DAC!H:H,MATCH("Number of Channels",DataConverter_ADC_DAC!$B:$B,0))),"")</f>
        <v/>
      </c>
      <c r="I52" s="13"/>
      <c r="J52" s="13" t="str">
        <f t="shared" si="1"/>
        <v/>
      </c>
    </row>
    <row r="53" spans="1:10">
      <c r="A53" s="13" t="s">
        <v>76</v>
      </c>
      <c r="B53" s="13" t="s">
        <v>73</v>
      </c>
      <c r="C53" s="16" t="s">
        <v>69</v>
      </c>
      <c r="D53" s="13" t="str">
        <f>IFERROR(IF(ISBLANK(INDEX(DataConverter_ADC_DAC!I:I,MATCH("Part No.",DataConverter_ADC_DAC!$B:$B,0))),"",INDEX(DataConverter_ADC_DAC!I:I,MATCH("Part No.",DataConverter_ADC_DAC!$B:$B,0))),"")</f>
        <v/>
      </c>
      <c r="E53" s="13" t="str">
        <f>IFERROR(IF(ISBLANK(INDEX(DataConverter_ADC_DAC!I:I,MATCH("Manufacturer",DataConverter_ADC_DAC!$B:$B,0))),"",INDEX(DataConverter_ADC_DAC!I:I,MATCH("Manufacturer",DataConverter_ADC_DAC!$B:$B,0))),"")</f>
        <v/>
      </c>
      <c r="F53" s="13" t="str">
        <f>IFERROR(IF(ISBLANK(INDEX(DataConverter_ADC_DAC!I:I,MATCH("Function (ADC / DAC / RF-Sampling)",DataConverter_ADC_DAC!$B:$B,0))),"",INDEX(DataConverter_ADC_DAC!I:I,MATCH("Function (ADC / DAC / RF-Sampling)",DataConverter_ADC_DAC!$B:$B,0))),"")</f>
        <v/>
      </c>
      <c r="G53" s="13"/>
      <c r="H53" s="13" t="str">
        <f>IFERROR(IF(ISBLANK(INDEX(DataConverter_ADC_DAC!I:I,MATCH("Number of Channels",DataConverter_ADC_DAC!$B:$B,0))),"",INDEX(DataConverter_ADC_DAC!I:I,MATCH("Number of Channels",DataConverter_ADC_DAC!$B:$B,0))),"")</f>
        <v/>
      </c>
      <c r="I53" s="13"/>
      <c r="J53" s="13" t="str">
        <f t="shared" si="1"/>
        <v/>
      </c>
    </row>
    <row r="54" spans="1:10">
      <c r="A54" s="13" t="s">
        <v>76</v>
      </c>
      <c r="B54" s="13" t="s">
        <v>74</v>
      </c>
      <c r="C54" s="16" t="s">
        <v>69</v>
      </c>
      <c r="D54" s="13" t="str">
        <f>IFERROR(IF(ISBLANK(INDEX(DataConverter_ADC_DAC!J:J,MATCH("Part No.",DataConverter_ADC_DAC!$B:$B,0))),"",INDEX(DataConverter_ADC_DAC!J:J,MATCH("Part No.",DataConverter_ADC_DAC!$B:$B,0))),"")</f>
        <v/>
      </c>
      <c r="E54" s="13" t="str">
        <f>IFERROR(IF(ISBLANK(INDEX(DataConverter_ADC_DAC!J:J,MATCH("Manufacturer",DataConverter_ADC_DAC!$B:$B,0))),"",INDEX(DataConverter_ADC_DAC!J:J,MATCH("Manufacturer",DataConverter_ADC_DAC!$B:$B,0))),"")</f>
        <v/>
      </c>
      <c r="F54" s="13" t="str">
        <f>IFERROR(IF(ISBLANK(INDEX(DataConverter_ADC_DAC!J:J,MATCH("Function (ADC / DAC / RF-Sampling)",DataConverter_ADC_DAC!$B:$B,0))),"",INDEX(DataConverter_ADC_DAC!J:J,MATCH("Function (ADC / DAC / RF-Sampling)",DataConverter_ADC_DAC!$B:$B,0))),"")</f>
        <v/>
      </c>
      <c r="G54" s="13"/>
      <c r="H54" s="13" t="str">
        <f>IFERROR(IF(ISBLANK(INDEX(DataConverter_ADC_DAC!J:J,MATCH("Number of Channels",DataConverter_ADC_DAC!$B:$B,0))),"",INDEX(DataConverter_ADC_DAC!J:J,MATCH("Number of Channels",DataConverter_ADC_DAC!$B:$B,0))),"")</f>
        <v/>
      </c>
      <c r="I54" s="13"/>
      <c r="J54" s="13" t="str">
        <f t="shared" si="1"/>
        <v/>
      </c>
    </row>
  </sheetData>
  <autoFilter ref="A4:J54" xr:uid="{00000000-0009-0000-0000-000001000000}"/>
  <mergeCells count="2">
    <mergeCell ref="A1:J1"/>
    <mergeCell ref="A2:J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1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3" sqref="A3"/>
    </sheetView>
  </sheetViews>
  <sheetFormatPr defaultColWidth="8.6640625" defaultRowHeight="14.25" outlineLevelCol="1"/>
  <cols>
    <col min="1" max="1" width="16" customWidth="1"/>
    <col min="2" max="2" width="36" customWidth="1"/>
    <col min="3" max="3" width="13" customWidth="1"/>
    <col min="4" max="4" width="20" customWidth="1"/>
    <col min="5" max="12" width="16" customWidth="1" outlineLevel="1"/>
    <col min="13" max="13" width="2.46484375" customWidth="1"/>
    <col min="14" max="21" width="16" customWidth="1" outlineLevel="1"/>
  </cols>
  <sheetData>
    <row r="1" spans="1:21" ht="25.5" customHeight="1">
      <c r="A1" s="24" t="s">
        <v>77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5" customHeight="1">
      <c r="A2" s="30" t="s">
        <v>490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15" customHeight="1">
      <c r="A3" s="17"/>
      <c r="B3" s="17"/>
      <c r="C3" s="17"/>
      <c r="D3" s="17"/>
      <c r="E3" s="31" t="s">
        <v>78</v>
      </c>
      <c r="F3" s="31"/>
      <c r="G3" s="31"/>
      <c r="H3" s="31"/>
      <c r="I3" s="31"/>
      <c r="J3" s="31"/>
      <c r="K3" s="31"/>
      <c r="L3" s="31"/>
      <c r="M3" s="17"/>
      <c r="N3" s="32" t="s">
        <v>79</v>
      </c>
      <c r="O3" s="32"/>
      <c r="P3" s="32"/>
      <c r="Q3" s="32"/>
      <c r="R3" s="32"/>
      <c r="S3" s="32"/>
      <c r="T3" s="32"/>
      <c r="U3" s="32"/>
    </row>
    <row r="4" spans="1:21" ht="21.75" customHeight="1">
      <c r="A4" s="12" t="s">
        <v>80</v>
      </c>
      <c r="B4" s="12" t="s">
        <v>81</v>
      </c>
      <c r="C4" s="12" t="s">
        <v>82</v>
      </c>
      <c r="D4" s="12" t="s">
        <v>83</v>
      </c>
      <c r="E4" s="2" t="s">
        <v>48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17"/>
      <c r="N4" s="1" t="s">
        <v>57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</row>
    <row r="5" spans="1:21" ht="15" customHeight="1">
      <c r="A5" s="23" t="s">
        <v>84</v>
      </c>
      <c r="B5" s="18" t="s">
        <v>85</v>
      </c>
      <c r="C5" s="19"/>
      <c r="D5" s="20" t="s">
        <v>86</v>
      </c>
      <c r="E5" s="14" t="s">
        <v>87</v>
      </c>
      <c r="F5" s="14" t="s">
        <v>87</v>
      </c>
      <c r="G5" s="14" t="s">
        <v>88</v>
      </c>
      <c r="H5" s="14" t="s">
        <v>89</v>
      </c>
      <c r="I5" s="14" t="s">
        <v>89</v>
      </c>
      <c r="J5" s="14" t="s">
        <v>89</v>
      </c>
      <c r="K5" s="14" t="s">
        <v>90</v>
      </c>
      <c r="L5" s="14" t="s">
        <v>90</v>
      </c>
      <c r="M5" s="17"/>
      <c r="N5" s="15" t="s">
        <v>91</v>
      </c>
      <c r="O5" s="15" t="s">
        <v>91</v>
      </c>
      <c r="P5" s="15"/>
      <c r="Q5" s="15"/>
      <c r="R5" s="15"/>
      <c r="S5" s="15"/>
      <c r="T5" s="15"/>
      <c r="U5" s="15"/>
    </row>
    <row r="6" spans="1:21" ht="25.5">
      <c r="A6" s="23"/>
      <c r="B6" s="18" t="s">
        <v>92</v>
      </c>
      <c r="C6" s="19"/>
      <c r="D6" s="20" t="s">
        <v>93</v>
      </c>
      <c r="E6" s="14" t="s">
        <v>94</v>
      </c>
      <c r="F6" s="14" t="s">
        <v>95</v>
      </c>
      <c r="G6" s="14" t="s">
        <v>96</v>
      </c>
      <c r="H6" s="14" t="s">
        <v>97</v>
      </c>
      <c r="I6" s="14" t="s">
        <v>98</v>
      </c>
      <c r="J6" s="14" t="s">
        <v>99</v>
      </c>
      <c r="K6" s="14" t="s">
        <v>100</v>
      </c>
      <c r="L6" s="14" t="s">
        <v>101</v>
      </c>
      <c r="M6" s="17"/>
      <c r="N6" s="15" t="s">
        <v>102</v>
      </c>
      <c r="O6" s="15" t="s">
        <v>103</v>
      </c>
      <c r="P6" s="15"/>
      <c r="Q6" s="15"/>
      <c r="R6" s="15"/>
      <c r="S6" s="15"/>
      <c r="T6" s="15"/>
      <c r="U6" s="15"/>
    </row>
    <row r="7" spans="1:21">
      <c r="A7" s="23"/>
      <c r="B7" s="18" t="s">
        <v>104</v>
      </c>
      <c r="C7" s="19" t="s">
        <v>105</v>
      </c>
      <c r="D7" s="21" t="s">
        <v>69</v>
      </c>
      <c r="E7" s="14" t="s">
        <v>49</v>
      </c>
      <c r="F7" s="14" t="s">
        <v>49</v>
      </c>
      <c r="G7" s="14" t="s">
        <v>49</v>
      </c>
      <c r="H7" s="14" t="s">
        <v>49</v>
      </c>
      <c r="I7" s="14" t="s">
        <v>49</v>
      </c>
      <c r="J7" s="14" t="s">
        <v>49</v>
      </c>
      <c r="K7" s="14" t="s">
        <v>49</v>
      </c>
      <c r="L7" s="14" t="s">
        <v>49</v>
      </c>
      <c r="M7" s="17"/>
      <c r="N7" s="15" t="s">
        <v>58</v>
      </c>
      <c r="O7" s="15" t="s">
        <v>58</v>
      </c>
      <c r="P7" s="15"/>
      <c r="Q7" s="15"/>
      <c r="R7" s="15"/>
      <c r="S7" s="15"/>
      <c r="T7" s="15"/>
      <c r="U7" s="15"/>
    </row>
    <row r="8" spans="1:21">
      <c r="A8" s="23"/>
      <c r="B8" s="18" t="s">
        <v>106</v>
      </c>
      <c r="C8" s="19"/>
      <c r="D8" s="20" t="s">
        <v>107</v>
      </c>
      <c r="E8" s="14" t="s">
        <v>108</v>
      </c>
      <c r="F8" s="14" t="s">
        <v>109</v>
      </c>
      <c r="G8" s="14" t="s">
        <v>109</v>
      </c>
      <c r="H8" s="14" t="s">
        <v>109</v>
      </c>
      <c r="I8" s="14" t="s">
        <v>108</v>
      </c>
      <c r="J8" s="14" t="s">
        <v>108</v>
      </c>
      <c r="K8" s="14" t="s">
        <v>108</v>
      </c>
      <c r="L8" s="14" t="s">
        <v>109</v>
      </c>
      <c r="M8" s="17"/>
      <c r="N8" s="15" t="s">
        <v>109</v>
      </c>
      <c r="O8" s="15" t="s">
        <v>108</v>
      </c>
      <c r="P8" s="15"/>
      <c r="Q8" s="15"/>
      <c r="R8" s="15"/>
      <c r="S8" s="15"/>
      <c r="T8" s="15"/>
      <c r="U8" s="15"/>
    </row>
    <row r="9" spans="1:21" ht="25.5">
      <c r="A9" s="23"/>
      <c r="B9" s="18" t="s">
        <v>110</v>
      </c>
      <c r="C9" s="19"/>
      <c r="D9" s="20" t="s">
        <v>111</v>
      </c>
      <c r="E9" s="14" t="s">
        <v>112</v>
      </c>
      <c r="F9" s="14" t="s">
        <v>112</v>
      </c>
      <c r="G9" s="14" t="s">
        <v>112</v>
      </c>
      <c r="H9" s="14" t="s">
        <v>113</v>
      </c>
      <c r="I9" s="14" t="s">
        <v>113</v>
      </c>
      <c r="J9" s="14" t="s">
        <v>113</v>
      </c>
      <c r="K9" s="14" t="s">
        <v>114</v>
      </c>
      <c r="L9" s="14" t="s">
        <v>114</v>
      </c>
      <c r="M9" s="17"/>
      <c r="N9" s="15" t="s">
        <v>112</v>
      </c>
      <c r="O9" s="15" t="s">
        <v>112</v>
      </c>
      <c r="P9" s="15"/>
      <c r="Q9" s="15"/>
      <c r="R9" s="15"/>
      <c r="S9" s="15"/>
      <c r="T9" s="15"/>
      <c r="U9" s="15"/>
    </row>
    <row r="10" spans="1:21" ht="15" customHeight="1">
      <c r="A10" s="23" t="s">
        <v>115</v>
      </c>
      <c r="B10" s="18" t="s">
        <v>116</v>
      </c>
      <c r="C10" s="19" t="s">
        <v>117</v>
      </c>
      <c r="D10" s="20" t="s">
        <v>118</v>
      </c>
      <c r="E10" s="14" t="s">
        <v>118</v>
      </c>
      <c r="F10" s="14" t="s">
        <v>119</v>
      </c>
      <c r="G10" s="14" t="s">
        <v>119</v>
      </c>
      <c r="H10" s="14" t="s">
        <v>119</v>
      </c>
      <c r="I10" s="14" t="s">
        <v>118</v>
      </c>
      <c r="J10" s="14" t="s">
        <v>118</v>
      </c>
      <c r="K10" s="14" t="s">
        <v>118</v>
      </c>
      <c r="L10" s="14" t="s">
        <v>119</v>
      </c>
      <c r="M10" s="17"/>
      <c r="N10" s="15" t="s">
        <v>119</v>
      </c>
      <c r="O10" s="15" t="s">
        <v>120</v>
      </c>
      <c r="P10" s="15"/>
      <c r="Q10" s="15"/>
      <c r="R10" s="15"/>
      <c r="S10" s="15"/>
      <c r="T10" s="15"/>
      <c r="U10" s="15"/>
    </row>
    <row r="11" spans="1:21">
      <c r="A11" s="23"/>
      <c r="B11" s="18" t="s">
        <v>121</v>
      </c>
      <c r="C11" s="19" t="s">
        <v>122</v>
      </c>
      <c r="D11" s="20" t="s">
        <v>123</v>
      </c>
      <c r="E11" s="14" t="s">
        <v>123</v>
      </c>
      <c r="F11" s="14" t="s">
        <v>124</v>
      </c>
      <c r="G11" s="14" t="s">
        <v>124</v>
      </c>
      <c r="H11" s="14" t="s">
        <v>124</v>
      </c>
      <c r="I11" s="14" t="s">
        <v>123</v>
      </c>
      <c r="J11" s="14" t="s">
        <v>123</v>
      </c>
      <c r="K11" s="14" t="s">
        <v>123</v>
      </c>
      <c r="L11" s="14" t="s">
        <v>124</v>
      </c>
      <c r="M11" s="17"/>
      <c r="N11" s="15" t="s">
        <v>124</v>
      </c>
      <c r="O11" s="15" t="s">
        <v>123</v>
      </c>
      <c r="P11" s="15"/>
      <c r="Q11" s="15"/>
      <c r="R11" s="15"/>
      <c r="S11" s="15"/>
      <c r="T11" s="15"/>
      <c r="U11" s="15"/>
    </row>
    <row r="12" spans="1:21">
      <c r="A12" s="23"/>
      <c r="B12" s="18" t="s">
        <v>125</v>
      </c>
      <c r="C12" s="19" t="s">
        <v>122</v>
      </c>
      <c r="D12" s="20" t="s">
        <v>124</v>
      </c>
      <c r="E12" s="14" t="s">
        <v>124</v>
      </c>
      <c r="F12" s="14" t="s">
        <v>123</v>
      </c>
      <c r="G12" s="14" t="s">
        <v>123</v>
      </c>
      <c r="H12" s="14" t="s">
        <v>123</v>
      </c>
      <c r="I12" s="14" t="s">
        <v>124</v>
      </c>
      <c r="J12" s="14" t="s">
        <v>124</v>
      </c>
      <c r="K12" s="14" t="s">
        <v>124</v>
      </c>
      <c r="L12" s="14" t="s">
        <v>123</v>
      </c>
      <c r="M12" s="17"/>
      <c r="N12" s="15" t="s">
        <v>123</v>
      </c>
      <c r="O12" s="15" t="s">
        <v>124</v>
      </c>
      <c r="P12" s="15"/>
      <c r="Q12" s="15"/>
      <c r="R12" s="15"/>
      <c r="S12" s="15"/>
      <c r="T12" s="15"/>
      <c r="U12" s="15"/>
    </row>
    <row r="13" spans="1:21">
      <c r="A13" s="23"/>
      <c r="B13" s="18" t="s">
        <v>126</v>
      </c>
      <c r="C13" s="19" t="s">
        <v>127</v>
      </c>
      <c r="D13" s="20" t="s">
        <v>128</v>
      </c>
      <c r="E13" s="14" t="s">
        <v>129</v>
      </c>
      <c r="F13" s="14" t="s">
        <v>130</v>
      </c>
      <c r="G13" s="14" t="s">
        <v>130</v>
      </c>
      <c r="H13" s="14" t="s">
        <v>131</v>
      </c>
      <c r="I13" s="14" t="s">
        <v>131</v>
      </c>
      <c r="J13" s="14" t="s">
        <v>131</v>
      </c>
      <c r="K13" s="14" t="s">
        <v>131</v>
      </c>
      <c r="L13" s="14" t="s">
        <v>131</v>
      </c>
      <c r="M13" s="17"/>
      <c r="N13" s="15" t="s">
        <v>132</v>
      </c>
      <c r="O13" s="15" t="s">
        <v>133</v>
      </c>
      <c r="P13" s="15"/>
      <c r="Q13" s="15"/>
      <c r="R13" s="15"/>
      <c r="S13" s="15"/>
      <c r="T13" s="15"/>
      <c r="U13" s="15"/>
    </row>
    <row r="14" spans="1:21">
      <c r="A14" s="23"/>
      <c r="B14" s="18" t="s">
        <v>134</v>
      </c>
      <c r="C14" s="19" t="s">
        <v>135</v>
      </c>
      <c r="D14" s="20" t="s">
        <v>136</v>
      </c>
      <c r="E14" s="14" t="s">
        <v>137</v>
      </c>
      <c r="F14" s="14" t="s">
        <v>138</v>
      </c>
      <c r="G14" s="14" t="s">
        <v>138</v>
      </c>
      <c r="H14" s="14" t="s">
        <v>138</v>
      </c>
      <c r="I14" s="14" t="s">
        <v>138</v>
      </c>
      <c r="J14" s="14" t="s">
        <v>138</v>
      </c>
      <c r="K14" s="14" t="s">
        <v>138</v>
      </c>
      <c r="L14" s="14" t="s">
        <v>138</v>
      </c>
      <c r="M14" s="17"/>
      <c r="N14" s="15" t="s">
        <v>138</v>
      </c>
      <c r="O14" s="15" t="s">
        <v>137</v>
      </c>
      <c r="P14" s="15"/>
      <c r="Q14" s="15"/>
      <c r="R14" s="15"/>
      <c r="S14" s="15"/>
      <c r="T14" s="15"/>
      <c r="U14" s="15"/>
    </row>
    <row r="15" spans="1:21">
      <c r="A15" s="23"/>
      <c r="B15" s="18" t="s">
        <v>139</v>
      </c>
      <c r="C15" s="19"/>
      <c r="D15" s="20" t="s">
        <v>140</v>
      </c>
      <c r="E15" s="14" t="s">
        <v>140</v>
      </c>
      <c r="F15" s="14" t="s">
        <v>140</v>
      </c>
      <c r="G15" s="14" t="s">
        <v>140</v>
      </c>
      <c r="H15" s="14" t="s">
        <v>140</v>
      </c>
      <c r="I15" s="14" t="s">
        <v>140</v>
      </c>
      <c r="J15" s="14" t="s">
        <v>140</v>
      </c>
      <c r="K15" s="14" t="s">
        <v>140</v>
      </c>
      <c r="L15" s="14" t="s">
        <v>140</v>
      </c>
      <c r="M15" s="17"/>
      <c r="N15" s="15" t="s">
        <v>140</v>
      </c>
      <c r="O15" s="15" t="s">
        <v>140</v>
      </c>
      <c r="P15" s="15"/>
      <c r="Q15" s="15"/>
      <c r="R15" s="15"/>
      <c r="S15" s="15"/>
      <c r="T15" s="15"/>
      <c r="U15" s="15"/>
    </row>
    <row r="16" spans="1:21" ht="15" customHeight="1">
      <c r="A16" s="23" t="s">
        <v>141</v>
      </c>
      <c r="B16" s="18" t="s">
        <v>142</v>
      </c>
      <c r="C16" s="19" t="s">
        <v>143</v>
      </c>
      <c r="D16" s="20" t="s">
        <v>144</v>
      </c>
      <c r="E16" s="14" t="s">
        <v>144</v>
      </c>
      <c r="F16" s="14" t="s">
        <v>144</v>
      </c>
      <c r="G16" s="14" t="s">
        <v>144</v>
      </c>
      <c r="H16" s="14" t="s">
        <v>144</v>
      </c>
      <c r="I16" s="14" t="s">
        <v>144</v>
      </c>
      <c r="J16" s="14" t="s">
        <v>144</v>
      </c>
      <c r="K16" s="14" t="s">
        <v>144</v>
      </c>
      <c r="L16" s="14" t="s">
        <v>144</v>
      </c>
      <c r="M16" s="17"/>
      <c r="N16" s="15" t="s">
        <v>145</v>
      </c>
      <c r="O16" s="15" t="s">
        <v>145</v>
      </c>
      <c r="P16" s="15"/>
      <c r="Q16" s="15"/>
      <c r="R16" s="15"/>
      <c r="S16" s="15"/>
      <c r="T16" s="15"/>
      <c r="U16" s="15"/>
    </row>
    <row r="17" spans="1:21">
      <c r="A17" s="23"/>
      <c r="B17" s="18" t="s">
        <v>146</v>
      </c>
      <c r="C17" s="19" t="s">
        <v>147</v>
      </c>
      <c r="D17" s="20" t="s">
        <v>148</v>
      </c>
      <c r="E17" s="14" t="s">
        <v>148</v>
      </c>
      <c r="F17" s="14" t="s">
        <v>148</v>
      </c>
      <c r="G17" s="14" t="s">
        <v>148</v>
      </c>
      <c r="H17" s="14" t="s">
        <v>148</v>
      </c>
      <c r="I17" s="14" t="s">
        <v>148</v>
      </c>
      <c r="J17" s="14" t="s">
        <v>148</v>
      </c>
      <c r="K17" s="14" t="s">
        <v>148</v>
      </c>
      <c r="L17" s="14" t="s">
        <v>148</v>
      </c>
      <c r="M17" s="17"/>
      <c r="N17" s="15" t="s">
        <v>148</v>
      </c>
      <c r="O17" s="15" t="s">
        <v>148</v>
      </c>
      <c r="P17" s="15"/>
      <c r="Q17" s="15"/>
      <c r="R17" s="15"/>
      <c r="S17" s="15"/>
      <c r="T17" s="15"/>
      <c r="U17" s="15"/>
    </row>
    <row r="18" spans="1:21">
      <c r="A18" s="23"/>
      <c r="B18" s="18" t="s">
        <v>149</v>
      </c>
      <c r="C18" s="19" t="s">
        <v>147</v>
      </c>
      <c r="D18" s="20" t="s">
        <v>150</v>
      </c>
      <c r="E18" s="14" t="s">
        <v>138</v>
      </c>
      <c r="F18" s="14" t="s">
        <v>151</v>
      </c>
      <c r="G18" s="14" t="s">
        <v>138</v>
      </c>
      <c r="H18" s="14" t="s">
        <v>152</v>
      </c>
      <c r="I18" s="14" t="s">
        <v>153</v>
      </c>
      <c r="J18" s="14" t="s">
        <v>153</v>
      </c>
      <c r="K18" s="14" t="s">
        <v>112</v>
      </c>
      <c r="L18" s="14" t="s">
        <v>112</v>
      </c>
      <c r="M18" s="17"/>
      <c r="N18" s="15" t="s">
        <v>154</v>
      </c>
      <c r="O18" s="15" t="s">
        <v>155</v>
      </c>
      <c r="P18" s="15"/>
      <c r="Q18" s="15"/>
      <c r="R18" s="15"/>
      <c r="S18" s="15"/>
      <c r="T18" s="15"/>
      <c r="U18" s="15"/>
    </row>
    <row r="19" spans="1:21">
      <c r="A19" s="23"/>
      <c r="B19" s="18" t="s">
        <v>156</v>
      </c>
      <c r="C19" s="19" t="s">
        <v>157</v>
      </c>
      <c r="D19" s="20" t="s">
        <v>158</v>
      </c>
      <c r="E19" s="14" t="s">
        <v>159</v>
      </c>
      <c r="F19" s="14" t="s">
        <v>160</v>
      </c>
      <c r="G19" s="14" t="s">
        <v>161</v>
      </c>
      <c r="H19" s="14" t="s">
        <v>162</v>
      </c>
      <c r="I19" s="14" t="s">
        <v>128</v>
      </c>
      <c r="J19" s="14" t="s">
        <v>128</v>
      </c>
      <c r="K19" s="14" t="s">
        <v>163</v>
      </c>
      <c r="L19" s="14" t="s">
        <v>163</v>
      </c>
      <c r="M19" s="17"/>
      <c r="N19" s="15" t="s">
        <v>158</v>
      </c>
      <c r="O19" s="15" t="s">
        <v>164</v>
      </c>
      <c r="P19" s="15"/>
      <c r="Q19" s="15"/>
      <c r="R19" s="15"/>
      <c r="S19" s="15"/>
      <c r="T19" s="15"/>
      <c r="U19" s="15"/>
    </row>
    <row r="20" spans="1:21">
      <c r="A20" s="23"/>
      <c r="B20" s="18" t="s">
        <v>165</v>
      </c>
      <c r="C20" s="19" t="s">
        <v>143</v>
      </c>
      <c r="D20" s="20" t="s">
        <v>144</v>
      </c>
      <c r="E20" s="14" t="s">
        <v>166</v>
      </c>
      <c r="F20" s="14" t="s">
        <v>144</v>
      </c>
      <c r="G20" s="14" t="s">
        <v>167</v>
      </c>
      <c r="H20" s="14" t="s">
        <v>144</v>
      </c>
      <c r="I20" s="14" t="s">
        <v>144</v>
      </c>
      <c r="J20" s="14" t="s">
        <v>144</v>
      </c>
      <c r="K20" s="14" t="s">
        <v>168</v>
      </c>
      <c r="L20" s="14" t="s">
        <v>168</v>
      </c>
      <c r="M20" s="17"/>
      <c r="N20" s="15" t="s">
        <v>169</v>
      </c>
      <c r="O20" s="15" t="s">
        <v>169</v>
      </c>
      <c r="P20" s="15"/>
      <c r="Q20" s="15"/>
      <c r="R20" s="15"/>
      <c r="S20" s="15"/>
      <c r="T20" s="15"/>
      <c r="U20" s="15"/>
    </row>
    <row r="21" spans="1:21">
      <c r="A21" s="23"/>
      <c r="B21" s="18" t="s">
        <v>170</v>
      </c>
      <c r="C21" s="19" t="s">
        <v>157</v>
      </c>
      <c r="D21" s="20" t="s">
        <v>171</v>
      </c>
      <c r="E21" s="14" t="s">
        <v>172</v>
      </c>
      <c r="F21" s="14" t="s">
        <v>173</v>
      </c>
      <c r="G21" s="14" t="s">
        <v>174</v>
      </c>
      <c r="H21" s="14" t="s">
        <v>175</v>
      </c>
      <c r="I21" s="14" t="s">
        <v>175</v>
      </c>
      <c r="J21" s="14" t="s">
        <v>175</v>
      </c>
      <c r="K21" s="14" t="s">
        <v>112</v>
      </c>
      <c r="L21" s="14" t="s">
        <v>112</v>
      </c>
      <c r="M21" s="17"/>
      <c r="N21" s="15" t="s">
        <v>176</v>
      </c>
      <c r="O21" s="15" t="s">
        <v>177</v>
      </c>
      <c r="P21" s="15"/>
      <c r="Q21" s="15"/>
      <c r="R21" s="15"/>
      <c r="S21" s="15"/>
      <c r="T21" s="15"/>
      <c r="U21" s="15"/>
    </row>
    <row r="22" spans="1:21" ht="15" customHeight="1">
      <c r="A22" s="23" t="s">
        <v>178</v>
      </c>
      <c r="B22" s="18" t="s">
        <v>179</v>
      </c>
      <c r="C22" s="19" t="s">
        <v>157</v>
      </c>
      <c r="D22" s="20" t="s">
        <v>180</v>
      </c>
      <c r="E22" s="14" t="s">
        <v>181</v>
      </c>
      <c r="F22" s="14" t="s">
        <v>112</v>
      </c>
      <c r="G22" s="14" t="s">
        <v>182</v>
      </c>
      <c r="H22" s="14" t="s">
        <v>183</v>
      </c>
      <c r="I22" s="14" t="s">
        <v>163</v>
      </c>
      <c r="J22" s="14" t="s">
        <v>184</v>
      </c>
      <c r="K22" s="14" t="s">
        <v>185</v>
      </c>
      <c r="L22" s="14" t="s">
        <v>185</v>
      </c>
      <c r="M22" s="17"/>
      <c r="N22" s="15" t="s">
        <v>186</v>
      </c>
      <c r="O22" s="15" t="s">
        <v>187</v>
      </c>
      <c r="P22" s="15"/>
      <c r="Q22" s="15"/>
      <c r="R22" s="15"/>
      <c r="S22" s="15"/>
      <c r="T22" s="15"/>
      <c r="U22" s="15"/>
    </row>
    <row r="23" spans="1:21">
      <c r="A23" s="23"/>
      <c r="B23" s="18" t="s">
        <v>188</v>
      </c>
      <c r="C23" s="19" t="s">
        <v>157</v>
      </c>
      <c r="D23" s="20" t="s">
        <v>112</v>
      </c>
      <c r="E23" s="14" t="s">
        <v>112</v>
      </c>
      <c r="F23" s="14" t="s">
        <v>189</v>
      </c>
      <c r="G23" s="14" t="s">
        <v>112</v>
      </c>
      <c r="H23" s="14" t="s">
        <v>190</v>
      </c>
      <c r="I23" s="14" t="s">
        <v>191</v>
      </c>
      <c r="J23" s="14" t="s">
        <v>192</v>
      </c>
      <c r="K23" s="14" t="s">
        <v>112</v>
      </c>
      <c r="L23" s="14" t="s">
        <v>112</v>
      </c>
      <c r="M23" s="17"/>
      <c r="N23" s="15" t="s">
        <v>193</v>
      </c>
      <c r="O23" s="15" t="s">
        <v>112</v>
      </c>
      <c r="P23" s="15"/>
      <c r="Q23" s="15"/>
      <c r="R23" s="15"/>
      <c r="S23" s="15"/>
      <c r="T23" s="15"/>
      <c r="U23" s="15"/>
    </row>
    <row r="24" spans="1:21" ht="25.5">
      <c r="A24" s="23"/>
      <c r="B24" s="18" t="s">
        <v>194</v>
      </c>
      <c r="C24" s="19" t="s">
        <v>157</v>
      </c>
      <c r="D24" s="20" t="s">
        <v>195</v>
      </c>
      <c r="E24" s="14" t="s">
        <v>196</v>
      </c>
      <c r="F24" s="14" t="s">
        <v>197</v>
      </c>
      <c r="G24" s="14" t="s">
        <v>198</v>
      </c>
      <c r="H24" s="14" t="s">
        <v>199</v>
      </c>
      <c r="I24" s="14" t="s">
        <v>199</v>
      </c>
      <c r="J24" s="14" t="s">
        <v>199</v>
      </c>
      <c r="K24" s="14" t="s">
        <v>112</v>
      </c>
      <c r="L24" s="14" t="s">
        <v>112</v>
      </c>
      <c r="M24" s="17"/>
      <c r="N24" s="15" t="s">
        <v>200</v>
      </c>
      <c r="O24" s="15" t="s">
        <v>201</v>
      </c>
      <c r="P24" s="15"/>
      <c r="Q24" s="15"/>
      <c r="R24" s="15"/>
      <c r="S24" s="15"/>
      <c r="T24" s="15"/>
      <c r="U24" s="15"/>
    </row>
    <row r="25" spans="1:21">
      <c r="A25" s="23"/>
      <c r="B25" s="18" t="s">
        <v>202</v>
      </c>
      <c r="C25" s="19" t="s">
        <v>117</v>
      </c>
      <c r="D25" s="20" t="s">
        <v>203</v>
      </c>
      <c r="E25" s="14" t="s">
        <v>203</v>
      </c>
      <c r="F25" s="14" t="s">
        <v>203</v>
      </c>
      <c r="G25" s="14" t="s">
        <v>203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7"/>
      <c r="N25" s="15" t="s">
        <v>203</v>
      </c>
      <c r="O25" s="15" t="s">
        <v>204</v>
      </c>
      <c r="P25" s="15"/>
      <c r="Q25" s="15"/>
      <c r="R25" s="15"/>
      <c r="S25" s="15"/>
      <c r="T25" s="15"/>
      <c r="U25" s="15"/>
    </row>
    <row r="26" spans="1:21">
      <c r="A26" s="23"/>
      <c r="B26" s="18" t="s">
        <v>205</v>
      </c>
      <c r="C26" s="19" t="s">
        <v>157</v>
      </c>
      <c r="D26" s="20" t="s">
        <v>206</v>
      </c>
      <c r="E26" s="14" t="s">
        <v>207</v>
      </c>
      <c r="F26" s="14" t="s">
        <v>207</v>
      </c>
      <c r="G26" s="14" t="s">
        <v>208</v>
      </c>
      <c r="H26" s="14" t="s">
        <v>209</v>
      </c>
      <c r="I26" s="14" t="s">
        <v>209</v>
      </c>
      <c r="J26" s="14" t="s">
        <v>209</v>
      </c>
      <c r="K26" s="14" t="s">
        <v>112</v>
      </c>
      <c r="L26" s="14" t="s">
        <v>112</v>
      </c>
      <c r="M26" s="17"/>
      <c r="N26" s="15" t="s">
        <v>210</v>
      </c>
      <c r="O26" s="15" t="s">
        <v>211</v>
      </c>
      <c r="P26" s="15"/>
      <c r="Q26" s="15"/>
      <c r="R26" s="15"/>
      <c r="S26" s="15"/>
      <c r="T26" s="15"/>
      <c r="U26" s="15"/>
    </row>
    <row r="27" spans="1:21">
      <c r="A27" s="23"/>
      <c r="B27" s="18" t="s">
        <v>212</v>
      </c>
      <c r="C27" s="19" t="s">
        <v>157</v>
      </c>
      <c r="D27" s="20" t="s">
        <v>206</v>
      </c>
      <c r="E27" s="14" t="s">
        <v>209</v>
      </c>
      <c r="F27" s="14" t="s">
        <v>208</v>
      </c>
      <c r="G27" s="14" t="s">
        <v>213</v>
      </c>
      <c r="H27" s="14" t="s">
        <v>209</v>
      </c>
      <c r="I27" s="14" t="s">
        <v>214</v>
      </c>
      <c r="J27" s="14" t="s">
        <v>215</v>
      </c>
      <c r="K27" s="14" t="s">
        <v>112</v>
      </c>
      <c r="L27" s="14" t="s">
        <v>112</v>
      </c>
      <c r="M27" s="17"/>
      <c r="N27" s="15" t="s">
        <v>216</v>
      </c>
      <c r="O27" s="15" t="s">
        <v>217</v>
      </c>
      <c r="P27" s="15"/>
      <c r="Q27" s="15"/>
      <c r="R27" s="15"/>
      <c r="S27" s="15"/>
      <c r="T27" s="15"/>
      <c r="U27" s="15"/>
    </row>
    <row r="28" spans="1:21" ht="15" customHeight="1">
      <c r="A28" s="23" t="s">
        <v>218</v>
      </c>
      <c r="B28" s="18" t="s">
        <v>219</v>
      </c>
      <c r="C28" s="19" t="s">
        <v>220</v>
      </c>
      <c r="D28" s="20" t="s">
        <v>180</v>
      </c>
      <c r="E28" s="14" t="s">
        <v>210</v>
      </c>
      <c r="F28" s="14" t="s">
        <v>112</v>
      </c>
      <c r="G28" s="14" t="s">
        <v>112</v>
      </c>
      <c r="H28" s="14" t="s">
        <v>112</v>
      </c>
      <c r="I28" s="14" t="s">
        <v>221</v>
      </c>
      <c r="J28" s="14" t="s">
        <v>222</v>
      </c>
      <c r="K28" s="14" t="s">
        <v>183</v>
      </c>
      <c r="L28" s="14" t="s">
        <v>112</v>
      </c>
      <c r="M28" s="17"/>
      <c r="N28" s="15" t="s">
        <v>112</v>
      </c>
      <c r="O28" s="15" t="s">
        <v>223</v>
      </c>
      <c r="P28" s="15"/>
      <c r="Q28" s="15"/>
      <c r="R28" s="15"/>
      <c r="S28" s="15"/>
      <c r="T28" s="15"/>
      <c r="U28" s="15"/>
    </row>
    <row r="29" spans="1:21">
      <c r="A29" s="23"/>
      <c r="B29" s="18" t="s">
        <v>224</v>
      </c>
      <c r="C29" s="19" t="s">
        <v>220</v>
      </c>
      <c r="D29" s="20" t="s">
        <v>225</v>
      </c>
      <c r="E29" s="14" t="s">
        <v>112</v>
      </c>
      <c r="F29" s="14" t="s">
        <v>112</v>
      </c>
      <c r="G29" s="14" t="s">
        <v>112</v>
      </c>
      <c r="H29" s="14" t="s">
        <v>112</v>
      </c>
      <c r="I29" s="14" t="s">
        <v>226</v>
      </c>
      <c r="J29" s="14" t="s">
        <v>227</v>
      </c>
      <c r="K29" s="14" t="s">
        <v>112</v>
      </c>
      <c r="L29" s="14" t="s">
        <v>112</v>
      </c>
      <c r="M29" s="17"/>
      <c r="N29" s="15" t="s">
        <v>112</v>
      </c>
      <c r="O29" s="15" t="s">
        <v>228</v>
      </c>
      <c r="P29" s="15"/>
      <c r="Q29" s="15"/>
      <c r="R29" s="15"/>
      <c r="S29" s="15"/>
      <c r="T29" s="15"/>
      <c r="U29" s="15"/>
    </row>
    <row r="30" spans="1:21">
      <c r="A30" s="23"/>
      <c r="B30" s="18" t="s">
        <v>229</v>
      </c>
      <c r="C30" s="19" t="s">
        <v>220</v>
      </c>
      <c r="D30" s="20" t="s">
        <v>230</v>
      </c>
      <c r="E30" s="14" t="s">
        <v>231</v>
      </c>
      <c r="F30" s="14" t="s">
        <v>112</v>
      </c>
      <c r="G30" s="14" t="s">
        <v>112</v>
      </c>
      <c r="H30" s="14" t="s">
        <v>112</v>
      </c>
      <c r="I30" s="14" t="s">
        <v>232</v>
      </c>
      <c r="J30" s="14" t="s">
        <v>233</v>
      </c>
      <c r="K30" s="14" t="s">
        <v>112</v>
      </c>
      <c r="L30" s="14" t="s">
        <v>112</v>
      </c>
      <c r="M30" s="17"/>
      <c r="N30" s="15" t="s">
        <v>112</v>
      </c>
      <c r="O30" s="15" t="s">
        <v>234</v>
      </c>
      <c r="P30" s="15"/>
      <c r="Q30" s="15"/>
      <c r="R30" s="15"/>
      <c r="S30" s="15"/>
      <c r="T30" s="15"/>
      <c r="U30" s="15"/>
    </row>
    <row r="31" spans="1:21">
      <c r="A31" s="23"/>
      <c r="B31" s="18" t="s">
        <v>235</v>
      </c>
      <c r="C31" s="19" t="s">
        <v>236</v>
      </c>
      <c r="D31" s="20" t="s">
        <v>112</v>
      </c>
      <c r="E31" s="14" t="s">
        <v>112</v>
      </c>
      <c r="F31" s="14" t="s">
        <v>112</v>
      </c>
      <c r="G31" s="14" t="s">
        <v>112</v>
      </c>
      <c r="H31" s="14" t="s">
        <v>112</v>
      </c>
      <c r="I31" s="14" t="s">
        <v>112</v>
      </c>
      <c r="J31" s="14" t="s">
        <v>237</v>
      </c>
      <c r="K31" s="14" t="s">
        <v>238</v>
      </c>
      <c r="L31" s="14" t="s">
        <v>112</v>
      </c>
      <c r="M31" s="17"/>
      <c r="N31" s="15" t="s">
        <v>112</v>
      </c>
      <c r="O31" s="15" t="s">
        <v>112</v>
      </c>
      <c r="P31" s="15"/>
      <c r="Q31" s="15"/>
      <c r="R31" s="15"/>
      <c r="S31" s="15"/>
      <c r="T31" s="15"/>
      <c r="U31" s="15"/>
    </row>
    <row r="32" spans="1:21">
      <c r="A32" s="23"/>
      <c r="B32" s="18" t="s">
        <v>239</v>
      </c>
      <c r="C32" s="19" t="s">
        <v>236</v>
      </c>
      <c r="D32" s="20" t="s">
        <v>112</v>
      </c>
      <c r="E32" s="14" t="s">
        <v>112</v>
      </c>
      <c r="F32" s="14" t="s">
        <v>112</v>
      </c>
      <c r="G32" s="14" t="s">
        <v>112</v>
      </c>
      <c r="H32" s="14" t="s">
        <v>112</v>
      </c>
      <c r="I32" s="14" t="s">
        <v>240</v>
      </c>
      <c r="J32" s="14" t="s">
        <v>240</v>
      </c>
      <c r="K32" s="14" t="s">
        <v>241</v>
      </c>
      <c r="L32" s="14" t="s">
        <v>112</v>
      </c>
      <c r="M32" s="17"/>
      <c r="N32" s="15" t="s">
        <v>112</v>
      </c>
      <c r="O32" s="15" t="s">
        <v>112</v>
      </c>
      <c r="P32" s="15"/>
      <c r="Q32" s="15"/>
      <c r="R32" s="15"/>
      <c r="S32" s="15"/>
      <c r="T32" s="15"/>
      <c r="U32" s="15"/>
    </row>
    <row r="33" spans="1:21" ht="15" customHeight="1">
      <c r="A33" s="23" t="s">
        <v>242</v>
      </c>
      <c r="B33" s="18" t="s">
        <v>243</v>
      </c>
      <c r="C33" s="19" t="s">
        <v>157</v>
      </c>
      <c r="D33" s="20" t="s">
        <v>244</v>
      </c>
      <c r="E33" s="14" t="s">
        <v>112</v>
      </c>
      <c r="F33" s="14" t="s">
        <v>245</v>
      </c>
      <c r="G33" s="14" t="s">
        <v>246</v>
      </c>
      <c r="H33" s="14" t="s">
        <v>138</v>
      </c>
      <c r="I33" s="14" t="s">
        <v>112</v>
      </c>
      <c r="J33" s="14" t="s">
        <v>112</v>
      </c>
      <c r="K33" s="14" t="s">
        <v>112</v>
      </c>
      <c r="L33" s="14" t="s">
        <v>247</v>
      </c>
      <c r="M33" s="17"/>
      <c r="N33" s="15" t="s">
        <v>248</v>
      </c>
      <c r="O33" s="15" t="s">
        <v>187</v>
      </c>
      <c r="P33" s="15"/>
      <c r="Q33" s="15"/>
      <c r="R33" s="15"/>
      <c r="S33" s="15"/>
      <c r="T33" s="15"/>
      <c r="U33" s="15"/>
    </row>
    <row r="34" spans="1:21">
      <c r="A34" s="23"/>
      <c r="B34" s="18" t="s">
        <v>249</v>
      </c>
      <c r="C34" s="19" t="s">
        <v>220</v>
      </c>
      <c r="D34" s="20" t="s">
        <v>112</v>
      </c>
      <c r="E34" s="14" t="s">
        <v>112</v>
      </c>
      <c r="F34" s="14" t="s">
        <v>250</v>
      </c>
      <c r="G34" s="14" t="s">
        <v>251</v>
      </c>
      <c r="H34" s="14" t="s">
        <v>252</v>
      </c>
      <c r="I34" s="14" t="s">
        <v>112</v>
      </c>
      <c r="J34" s="14" t="s">
        <v>112</v>
      </c>
      <c r="K34" s="14" t="s">
        <v>112</v>
      </c>
      <c r="L34" s="14" t="s">
        <v>253</v>
      </c>
      <c r="M34" s="17"/>
      <c r="N34" s="15" t="s">
        <v>254</v>
      </c>
      <c r="O34" s="15" t="s">
        <v>112</v>
      </c>
      <c r="P34" s="15"/>
      <c r="Q34" s="15"/>
      <c r="R34" s="15"/>
      <c r="S34" s="15"/>
      <c r="T34" s="15"/>
      <c r="U34" s="15"/>
    </row>
    <row r="35" spans="1:21">
      <c r="A35" s="23"/>
      <c r="B35" s="18" t="s">
        <v>255</v>
      </c>
      <c r="C35" s="19" t="s">
        <v>220</v>
      </c>
      <c r="D35" s="20" t="s">
        <v>112</v>
      </c>
      <c r="E35" s="14" t="s">
        <v>112</v>
      </c>
      <c r="F35" s="14" t="s">
        <v>256</v>
      </c>
      <c r="G35" s="14" t="s">
        <v>257</v>
      </c>
      <c r="H35" s="14" t="s">
        <v>258</v>
      </c>
      <c r="I35" s="14" t="s">
        <v>112</v>
      </c>
      <c r="J35" s="14" t="s">
        <v>112</v>
      </c>
      <c r="K35" s="14" t="s">
        <v>112</v>
      </c>
      <c r="L35" s="14" t="s">
        <v>112</v>
      </c>
      <c r="M35" s="17"/>
      <c r="N35" s="15" t="s">
        <v>259</v>
      </c>
      <c r="O35" s="15" t="s">
        <v>112</v>
      </c>
      <c r="P35" s="15"/>
      <c r="Q35" s="15"/>
      <c r="R35" s="15"/>
      <c r="S35" s="15"/>
      <c r="T35" s="15"/>
      <c r="U35" s="15"/>
    </row>
    <row r="36" spans="1:21" ht="23.85" customHeight="1">
      <c r="A36" s="23" t="s">
        <v>260</v>
      </c>
      <c r="B36" s="18" t="s">
        <v>261</v>
      </c>
      <c r="C36" s="19"/>
      <c r="D36" s="20" t="s">
        <v>262</v>
      </c>
      <c r="E36" s="14" t="s">
        <v>263</v>
      </c>
      <c r="F36" s="14" t="s">
        <v>263</v>
      </c>
      <c r="G36" s="14" t="s">
        <v>263</v>
      </c>
      <c r="H36" s="14" t="s">
        <v>264</v>
      </c>
      <c r="I36" s="14" t="s">
        <v>264</v>
      </c>
      <c r="J36" s="14" t="s">
        <v>264</v>
      </c>
      <c r="K36" s="14" t="s">
        <v>265</v>
      </c>
      <c r="L36" s="14" t="s">
        <v>265</v>
      </c>
      <c r="M36" s="17"/>
      <c r="N36" s="15" t="s">
        <v>266</v>
      </c>
      <c r="O36" s="15" t="s">
        <v>267</v>
      </c>
      <c r="P36" s="15"/>
      <c r="Q36" s="15"/>
      <c r="R36" s="15"/>
      <c r="S36" s="15"/>
      <c r="T36" s="15"/>
      <c r="U36" s="15"/>
    </row>
    <row r="37" spans="1:21">
      <c r="A37" s="23"/>
      <c r="B37" s="18" t="s">
        <v>268</v>
      </c>
      <c r="C37" s="19" t="s">
        <v>269</v>
      </c>
      <c r="D37" s="20" t="s">
        <v>270</v>
      </c>
      <c r="E37" s="14" t="s">
        <v>271</v>
      </c>
      <c r="F37" s="14" t="s">
        <v>271</v>
      </c>
      <c r="G37" s="14" t="s">
        <v>272</v>
      </c>
      <c r="H37" s="14" t="s">
        <v>273</v>
      </c>
      <c r="I37" s="14" t="s">
        <v>274</v>
      </c>
      <c r="J37" s="14" t="s">
        <v>275</v>
      </c>
      <c r="K37" s="14" t="s">
        <v>274</v>
      </c>
      <c r="L37" s="14" t="s">
        <v>274</v>
      </c>
      <c r="M37" s="17"/>
      <c r="N37" s="15" t="s">
        <v>276</v>
      </c>
      <c r="O37" s="15" t="s">
        <v>277</v>
      </c>
      <c r="P37" s="15"/>
      <c r="Q37" s="15"/>
      <c r="R37" s="15"/>
      <c r="S37" s="15"/>
      <c r="T37" s="15"/>
      <c r="U37" s="15"/>
    </row>
    <row r="38" spans="1:21">
      <c r="A38" s="23"/>
      <c r="B38" s="18" t="s">
        <v>278</v>
      </c>
      <c r="C38" s="19" t="s">
        <v>279</v>
      </c>
      <c r="D38" s="20" t="s">
        <v>112</v>
      </c>
      <c r="E38" s="14" t="s">
        <v>280</v>
      </c>
      <c r="F38" s="14" t="s">
        <v>281</v>
      </c>
      <c r="G38" s="14" t="s">
        <v>282</v>
      </c>
      <c r="H38" s="14" t="s">
        <v>283</v>
      </c>
      <c r="I38" s="14" t="s">
        <v>112</v>
      </c>
      <c r="J38" s="14" t="s">
        <v>284</v>
      </c>
      <c r="K38" s="14" t="s">
        <v>285</v>
      </c>
      <c r="L38" s="14" t="s">
        <v>286</v>
      </c>
      <c r="M38" s="17"/>
      <c r="N38" s="15" t="s">
        <v>112</v>
      </c>
      <c r="O38" s="15" t="s">
        <v>112</v>
      </c>
      <c r="P38" s="15"/>
      <c r="Q38" s="15"/>
      <c r="R38" s="15"/>
      <c r="S38" s="15"/>
      <c r="T38" s="15"/>
      <c r="U38" s="15"/>
    </row>
    <row r="39" spans="1:21" ht="25.5">
      <c r="A39" s="23"/>
      <c r="B39" s="18" t="s">
        <v>287</v>
      </c>
      <c r="C39" s="19" t="s">
        <v>288</v>
      </c>
      <c r="D39" s="20" t="s">
        <v>112</v>
      </c>
      <c r="E39" s="14" t="s">
        <v>289</v>
      </c>
      <c r="F39" s="14" t="s">
        <v>290</v>
      </c>
      <c r="G39" s="14" t="s">
        <v>291</v>
      </c>
      <c r="H39" s="14" t="s">
        <v>292</v>
      </c>
      <c r="I39" s="14" t="s">
        <v>293</v>
      </c>
      <c r="J39" s="14" t="s">
        <v>294</v>
      </c>
      <c r="K39" s="14" t="s">
        <v>295</v>
      </c>
      <c r="L39" s="14" t="s">
        <v>296</v>
      </c>
      <c r="M39" s="17"/>
      <c r="N39" s="15" t="s">
        <v>297</v>
      </c>
      <c r="O39" s="15" t="s">
        <v>298</v>
      </c>
      <c r="P39" s="15"/>
      <c r="Q39" s="15"/>
      <c r="R39" s="15"/>
      <c r="S39" s="15"/>
      <c r="T39" s="15"/>
      <c r="U39" s="15"/>
    </row>
    <row r="40" spans="1:21">
      <c r="A40" s="23"/>
      <c r="B40" s="18" t="s">
        <v>299</v>
      </c>
      <c r="C40" s="19" t="s">
        <v>279</v>
      </c>
      <c r="D40" s="20" t="s">
        <v>112</v>
      </c>
      <c r="E40" s="14" t="s">
        <v>144</v>
      </c>
      <c r="F40" s="14" t="s">
        <v>300</v>
      </c>
      <c r="G40" s="14" t="s">
        <v>214</v>
      </c>
      <c r="H40" s="14" t="s">
        <v>301</v>
      </c>
      <c r="I40" s="14" t="s">
        <v>302</v>
      </c>
      <c r="J40" s="14" t="s">
        <v>301</v>
      </c>
      <c r="K40" s="14" t="s">
        <v>112</v>
      </c>
      <c r="L40" s="14" t="s">
        <v>112</v>
      </c>
      <c r="M40" s="17"/>
      <c r="N40" s="15" t="s">
        <v>112</v>
      </c>
      <c r="O40" s="15" t="s">
        <v>112</v>
      </c>
      <c r="P40" s="15"/>
      <c r="Q40" s="15"/>
      <c r="R40" s="15"/>
      <c r="S40" s="15"/>
      <c r="T40" s="15"/>
      <c r="U40" s="15"/>
    </row>
    <row r="41" spans="1:21">
      <c r="A41" s="23"/>
      <c r="B41" s="18" t="s">
        <v>303</v>
      </c>
      <c r="C41" s="19" t="s">
        <v>279</v>
      </c>
      <c r="D41" s="20" t="s">
        <v>112</v>
      </c>
      <c r="E41" s="14" t="s">
        <v>304</v>
      </c>
      <c r="F41" s="14" t="s">
        <v>305</v>
      </c>
      <c r="G41" s="14" t="s">
        <v>291</v>
      </c>
      <c r="H41" s="14" t="s">
        <v>112</v>
      </c>
      <c r="I41" s="14" t="s">
        <v>112</v>
      </c>
      <c r="J41" s="14" t="s">
        <v>112</v>
      </c>
      <c r="K41" s="14" t="s">
        <v>112</v>
      </c>
      <c r="L41" s="14" t="s">
        <v>112</v>
      </c>
      <c r="M41" s="17"/>
      <c r="N41" s="15" t="s">
        <v>297</v>
      </c>
      <c r="O41" s="15" t="s">
        <v>306</v>
      </c>
      <c r="P41" s="15"/>
      <c r="Q41" s="15"/>
      <c r="R41" s="15"/>
      <c r="S41" s="15"/>
      <c r="T41" s="15"/>
      <c r="U41" s="15"/>
    </row>
    <row r="42" spans="1:21" ht="25.5">
      <c r="A42" s="23"/>
      <c r="B42" s="18" t="s">
        <v>307</v>
      </c>
      <c r="C42" s="19"/>
      <c r="D42" s="20" t="s">
        <v>308</v>
      </c>
      <c r="E42" s="14" t="s">
        <v>309</v>
      </c>
      <c r="F42" s="14" t="s">
        <v>310</v>
      </c>
      <c r="G42" s="14" t="s">
        <v>311</v>
      </c>
      <c r="H42" s="14" t="s">
        <v>312</v>
      </c>
      <c r="I42" s="14" t="s">
        <v>312</v>
      </c>
      <c r="J42" s="14" t="s">
        <v>312</v>
      </c>
      <c r="K42" s="14" t="s">
        <v>313</v>
      </c>
      <c r="L42" s="14" t="s">
        <v>313</v>
      </c>
      <c r="M42" s="17"/>
      <c r="N42" s="15" t="s">
        <v>314</v>
      </c>
      <c r="O42" s="15" t="s">
        <v>315</v>
      </c>
      <c r="P42" s="15"/>
      <c r="Q42" s="15"/>
      <c r="R42" s="15"/>
      <c r="S42" s="15"/>
      <c r="T42" s="15"/>
      <c r="U42" s="15"/>
    </row>
    <row r="43" spans="1:21">
      <c r="A43" s="23"/>
      <c r="B43" s="18" t="s">
        <v>316</v>
      </c>
      <c r="C43" s="19" t="s">
        <v>317</v>
      </c>
      <c r="D43" s="20" t="s">
        <v>112</v>
      </c>
      <c r="E43" s="14" t="s">
        <v>318</v>
      </c>
      <c r="F43" s="14" t="s">
        <v>319</v>
      </c>
      <c r="G43" s="14" t="s">
        <v>320</v>
      </c>
      <c r="H43" s="14" t="s">
        <v>321</v>
      </c>
      <c r="I43" s="14" t="s">
        <v>321</v>
      </c>
      <c r="J43" s="14" t="s">
        <v>321</v>
      </c>
      <c r="K43" s="14" t="s">
        <v>231</v>
      </c>
      <c r="L43" s="14" t="s">
        <v>231</v>
      </c>
      <c r="M43" s="17"/>
      <c r="N43" s="15" t="s">
        <v>322</v>
      </c>
      <c r="O43" s="15" t="s">
        <v>323</v>
      </c>
      <c r="P43" s="15"/>
      <c r="Q43" s="15"/>
      <c r="R43" s="15"/>
      <c r="S43" s="15"/>
      <c r="T43" s="15"/>
      <c r="U43" s="15"/>
    </row>
    <row r="44" spans="1:21">
      <c r="A44" s="23"/>
      <c r="B44" s="18" t="s">
        <v>324</v>
      </c>
      <c r="C44" s="19" t="s">
        <v>325</v>
      </c>
      <c r="D44" s="20" t="s">
        <v>326</v>
      </c>
      <c r="E44" s="14" t="s">
        <v>326</v>
      </c>
      <c r="F44" s="14" t="s">
        <v>326</v>
      </c>
      <c r="G44" s="14" t="s">
        <v>326</v>
      </c>
      <c r="H44" s="14" t="s">
        <v>326</v>
      </c>
      <c r="I44" s="14" t="s">
        <v>327</v>
      </c>
      <c r="J44" s="14" t="s">
        <v>326</v>
      </c>
      <c r="K44" s="14" t="s">
        <v>112</v>
      </c>
      <c r="L44" s="14" t="s">
        <v>112</v>
      </c>
      <c r="M44" s="17"/>
      <c r="N44" s="15" t="s">
        <v>326</v>
      </c>
      <c r="O44" s="15" t="s">
        <v>326</v>
      </c>
      <c r="P44" s="15"/>
      <c r="Q44" s="15"/>
      <c r="R44" s="15"/>
      <c r="S44" s="15"/>
      <c r="T44" s="15"/>
      <c r="U44" s="15"/>
    </row>
    <row r="45" spans="1:21" ht="23.85" customHeight="1">
      <c r="A45" s="29" t="s">
        <v>328</v>
      </c>
      <c r="B45" s="18" t="s">
        <v>329</v>
      </c>
      <c r="C45" s="19" t="s">
        <v>330</v>
      </c>
      <c r="D45" s="20" t="s">
        <v>124</v>
      </c>
      <c r="E45" s="14" t="s">
        <v>331</v>
      </c>
      <c r="F45" s="14" t="s">
        <v>331</v>
      </c>
      <c r="G45" s="14" t="s">
        <v>331</v>
      </c>
      <c r="H45" s="14" t="s">
        <v>332</v>
      </c>
      <c r="I45" s="14" t="s">
        <v>332</v>
      </c>
      <c r="J45" s="14" t="s">
        <v>332</v>
      </c>
      <c r="K45" s="14" t="s">
        <v>333</v>
      </c>
      <c r="L45" s="14" t="s">
        <v>333</v>
      </c>
      <c r="M45" s="17"/>
      <c r="N45" s="15" t="s">
        <v>334</v>
      </c>
      <c r="O45" s="15" t="s">
        <v>335</v>
      </c>
      <c r="P45" s="15"/>
      <c r="Q45" s="15"/>
      <c r="R45" s="15"/>
      <c r="S45" s="15"/>
      <c r="T45" s="15"/>
      <c r="U45" s="15"/>
    </row>
    <row r="46" spans="1:21">
      <c r="A46" s="29"/>
      <c r="B46" s="18" t="s">
        <v>336</v>
      </c>
      <c r="C46" s="19" t="s">
        <v>337</v>
      </c>
      <c r="D46" s="20" t="s">
        <v>338</v>
      </c>
      <c r="E46" s="14" t="s">
        <v>339</v>
      </c>
      <c r="F46" s="14" t="s">
        <v>340</v>
      </c>
      <c r="G46" s="14" t="s">
        <v>340</v>
      </c>
      <c r="H46" s="14" t="s">
        <v>112</v>
      </c>
      <c r="I46" s="14" t="s">
        <v>112</v>
      </c>
      <c r="J46" s="14" t="s">
        <v>112</v>
      </c>
      <c r="K46" s="14" t="s">
        <v>112</v>
      </c>
      <c r="L46" s="14" t="s">
        <v>112</v>
      </c>
      <c r="M46" s="17"/>
      <c r="N46" s="15" t="s">
        <v>341</v>
      </c>
      <c r="O46" s="15" t="s">
        <v>342</v>
      </c>
      <c r="P46" s="15"/>
      <c r="Q46" s="15"/>
      <c r="R46" s="15"/>
      <c r="S46" s="15"/>
      <c r="T46" s="15"/>
      <c r="U46" s="15"/>
    </row>
    <row r="47" spans="1:21">
      <c r="A47" s="29"/>
      <c r="B47" s="18" t="s">
        <v>343</v>
      </c>
      <c r="C47" s="19" t="s">
        <v>122</v>
      </c>
      <c r="D47" s="20" t="s">
        <v>124</v>
      </c>
      <c r="E47" s="14" t="s">
        <v>112</v>
      </c>
      <c r="F47" s="14" t="s">
        <v>344</v>
      </c>
      <c r="G47" s="14" t="s">
        <v>344</v>
      </c>
      <c r="H47" s="14" t="s">
        <v>124</v>
      </c>
      <c r="I47" s="14" t="s">
        <v>124</v>
      </c>
      <c r="J47" s="14" t="s">
        <v>124</v>
      </c>
      <c r="K47" s="14" t="s">
        <v>345</v>
      </c>
      <c r="L47" s="14" t="s">
        <v>345</v>
      </c>
      <c r="M47" s="17"/>
      <c r="N47" s="15" t="s">
        <v>112</v>
      </c>
      <c r="O47" s="15" t="s">
        <v>346</v>
      </c>
      <c r="P47" s="15"/>
      <c r="Q47" s="15"/>
      <c r="R47" s="15"/>
      <c r="S47" s="15"/>
      <c r="T47" s="15"/>
      <c r="U47" s="15"/>
    </row>
    <row r="48" spans="1:21">
      <c r="A48" s="29"/>
      <c r="B48" s="18" t="s">
        <v>347</v>
      </c>
      <c r="C48" s="19" t="s">
        <v>122</v>
      </c>
      <c r="D48" s="20" t="s">
        <v>124</v>
      </c>
      <c r="E48" s="14" t="s">
        <v>124</v>
      </c>
      <c r="F48" s="14" t="s">
        <v>124</v>
      </c>
      <c r="G48" s="14" t="s">
        <v>124</v>
      </c>
      <c r="H48" s="14" t="s">
        <v>124</v>
      </c>
      <c r="I48" s="14" t="s">
        <v>124</v>
      </c>
      <c r="J48" s="14" t="s">
        <v>124</v>
      </c>
      <c r="K48" s="14" t="s">
        <v>124</v>
      </c>
      <c r="L48" s="14" t="s">
        <v>124</v>
      </c>
      <c r="M48" s="17"/>
      <c r="N48" s="15" t="s">
        <v>124</v>
      </c>
      <c r="O48" s="15" t="s">
        <v>348</v>
      </c>
      <c r="P48" s="15"/>
      <c r="Q48" s="15"/>
      <c r="R48" s="15"/>
      <c r="S48" s="15"/>
      <c r="T48" s="15"/>
      <c r="U48" s="15"/>
    </row>
    <row r="49" spans="1:21">
      <c r="A49" s="29"/>
      <c r="B49" s="18" t="s">
        <v>349</v>
      </c>
      <c r="C49" s="19" t="s">
        <v>122</v>
      </c>
      <c r="D49" s="20" t="s">
        <v>124</v>
      </c>
      <c r="E49" s="14" t="s">
        <v>112</v>
      </c>
      <c r="F49" s="14" t="s">
        <v>112</v>
      </c>
      <c r="G49" s="14" t="s">
        <v>112</v>
      </c>
      <c r="H49" s="14" t="s">
        <v>124</v>
      </c>
      <c r="I49" s="14" t="s">
        <v>124</v>
      </c>
      <c r="J49" s="14" t="s">
        <v>124</v>
      </c>
      <c r="K49" s="14" t="s">
        <v>124</v>
      </c>
      <c r="L49" s="14" t="s">
        <v>124</v>
      </c>
      <c r="M49" s="17"/>
      <c r="N49" s="15" t="s">
        <v>112</v>
      </c>
      <c r="O49" s="15" t="s">
        <v>112</v>
      </c>
      <c r="P49" s="15"/>
      <c r="Q49" s="15"/>
      <c r="R49" s="15"/>
      <c r="S49" s="15"/>
      <c r="T49" s="15"/>
      <c r="U49" s="15"/>
    </row>
    <row r="50" spans="1:21">
      <c r="A50" s="29"/>
      <c r="B50" s="18" t="s">
        <v>350</v>
      </c>
      <c r="C50" s="19" t="s">
        <v>122</v>
      </c>
      <c r="D50" s="20" t="s">
        <v>124</v>
      </c>
      <c r="E50" s="14" t="s">
        <v>112</v>
      </c>
      <c r="F50" s="14" t="s">
        <v>351</v>
      </c>
      <c r="G50" s="14" t="s">
        <v>112</v>
      </c>
      <c r="H50" s="14" t="s">
        <v>112</v>
      </c>
      <c r="I50" s="14" t="s">
        <v>112</v>
      </c>
      <c r="J50" s="14" t="s">
        <v>112</v>
      </c>
      <c r="K50" s="14" t="s">
        <v>112</v>
      </c>
      <c r="L50" s="14" t="s">
        <v>112</v>
      </c>
      <c r="M50" s="17"/>
      <c r="N50" s="15" t="s">
        <v>124</v>
      </c>
      <c r="O50" s="15" t="s">
        <v>124</v>
      </c>
      <c r="P50" s="15"/>
      <c r="Q50" s="15"/>
      <c r="R50" s="15"/>
      <c r="S50" s="15"/>
      <c r="T50" s="15"/>
      <c r="U50" s="15"/>
    </row>
    <row r="51" spans="1:21">
      <c r="A51" s="29"/>
      <c r="B51" s="18" t="s">
        <v>352</v>
      </c>
      <c r="C51" s="19" t="s">
        <v>122</v>
      </c>
      <c r="D51" s="20" t="s">
        <v>112</v>
      </c>
      <c r="E51" s="14" t="s">
        <v>124</v>
      </c>
      <c r="F51" s="14" t="s">
        <v>123</v>
      </c>
      <c r="G51" s="14" t="s">
        <v>112</v>
      </c>
      <c r="H51" s="14" t="s">
        <v>353</v>
      </c>
      <c r="I51" s="14" t="s">
        <v>124</v>
      </c>
      <c r="J51" s="14" t="s">
        <v>354</v>
      </c>
      <c r="K51" s="14" t="s">
        <v>112</v>
      </c>
      <c r="L51" s="14" t="s">
        <v>112</v>
      </c>
      <c r="M51" s="17"/>
      <c r="N51" s="15" t="s">
        <v>112</v>
      </c>
      <c r="O51" s="15" t="s">
        <v>355</v>
      </c>
      <c r="P51" s="15"/>
      <c r="Q51" s="15"/>
      <c r="R51" s="15"/>
      <c r="S51" s="15"/>
      <c r="T51" s="15"/>
      <c r="U51" s="15"/>
    </row>
  </sheetData>
  <mergeCells count="12">
    <mergeCell ref="A1:U1"/>
    <mergeCell ref="A2:U2"/>
    <mergeCell ref="E3:L3"/>
    <mergeCell ref="N3:U3"/>
    <mergeCell ref="A5:A9"/>
    <mergeCell ref="A36:A44"/>
    <mergeCell ref="A45:A51"/>
    <mergeCell ref="A10:A15"/>
    <mergeCell ref="A16:A21"/>
    <mergeCell ref="A22:A27"/>
    <mergeCell ref="A28:A32"/>
    <mergeCell ref="A33:A35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U1"/>
    </sheetView>
  </sheetViews>
  <sheetFormatPr defaultColWidth="8.6640625" defaultRowHeight="14.25" outlineLevelCol="1"/>
  <cols>
    <col min="1" max="1" width="16" customWidth="1"/>
    <col min="2" max="2" width="36" customWidth="1"/>
    <col min="3" max="3" width="13" customWidth="1"/>
    <col min="4" max="4" width="20" customWidth="1"/>
    <col min="5" max="12" width="16" customWidth="1" outlineLevel="1"/>
    <col min="13" max="13" width="2.46484375" customWidth="1"/>
    <col min="14" max="21" width="16" customWidth="1" outlineLevel="1"/>
  </cols>
  <sheetData>
    <row r="1" spans="1:21" ht="25.5" customHeight="1">
      <c r="A1" s="24" t="s">
        <v>356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5" customHeight="1">
      <c r="A2" s="25" t="s">
        <v>357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15" customHeight="1">
      <c r="A3" s="17"/>
      <c r="B3" s="17"/>
      <c r="C3" s="17"/>
      <c r="D3" s="17"/>
      <c r="E3" s="31" t="s">
        <v>78</v>
      </c>
      <c r="F3" s="31"/>
      <c r="G3" s="31"/>
      <c r="H3" s="31"/>
      <c r="I3" s="31"/>
      <c r="J3" s="31"/>
      <c r="K3" s="31"/>
      <c r="L3" s="31"/>
      <c r="M3" s="17"/>
      <c r="N3" s="32" t="s">
        <v>79</v>
      </c>
      <c r="O3" s="32"/>
      <c r="P3" s="32"/>
      <c r="Q3" s="32"/>
      <c r="R3" s="32"/>
      <c r="S3" s="32"/>
      <c r="T3" s="32"/>
      <c r="U3" s="32"/>
    </row>
    <row r="4" spans="1:21" ht="21.75" customHeight="1">
      <c r="A4" s="12" t="s">
        <v>80</v>
      </c>
      <c r="B4" s="12" t="s">
        <v>81</v>
      </c>
      <c r="C4" s="12" t="s">
        <v>82</v>
      </c>
      <c r="D4" s="12" t="s">
        <v>83</v>
      </c>
      <c r="E4" s="2" t="s">
        <v>48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17"/>
      <c r="N4" s="1" t="s">
        <v>57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</row>
    <row r="5" spans="1:21" ht="15" customHeight="1">
      <c r="A5" s="23" t="s">
        <v>84</v>
      </c>
      <c r="B5" s="18" t="s">
        <v>85</v>
      </c>
      <c r="C5" s="19"/>
      <c r="D5" s="20" t="s">
        <v>358</v>
      </c>
      <c r="E5" s="14"/>
      <c r="F5" s="14"/>
      <c r="G5" s="14"/>
      <c r="H5" s="14"/>
      <c r="I5" s="14"/>
      <c r="J5" s="14"/>
      <c r="K5" s="14"/>
      <c r="L5" s="14"/>
      <c r="M5" s="17"/>
      <c r="N5" s="15"/>
      <c r="O5" s="15"/>
      <c r="P5" s="15"/>
      <c r="Q5" s="15"/>
      <c r="R5" s="15"/>
      <c r="S5" s="15"/>
      <c r="T5" s="15"/>
      <c r="U5" s="15"/>
    </row>
    <row r="6" spans="1:21">
      <c r="A6" s="23"/>
      <c r="B6" s="18" t="s">
        <v>92</v>
      </c>
      <c r="C6" s="19"/>
      <c r="D6" s="20" t="s">
        <v>359</v>
      </c>
      <c r="E6" s="14"/>
      <c r="F6" s="14"/>
      <c r="G6" s="14"/>
      <c r="H6" s="14"/>
      <c r="I6" s="14"/>
      <c r="J6" s="14"/>
      <c r="K6" s="14"/>
      <c r="L6" s="14"/>
      <c r="M6" s="17"/>
      <c r="N6" s="15"/>
      <c r="O6" s="15"/>
      <c r="P6" s="15"/>
      <c r="Q6" s="15"/>
      <c r="R6" s="15"/>
      <c r="S6" s="15"/>
      <c r="T6" s="15"/>
      <c r="U6" s="15"/>
    </row>
    <row r="7" spans="1:21">
      <c r="A7" s="23"/>
      <c r="B7" s="18" t="s">
        <v>104</v>
      </c>
      <c r="C7" s="19" t="s">
        <v>105</v>
      </c>
      <c r="D7" s="20" t="s">
        <v>360</v>
      </c>
      <c r="E7" s="14"/>
      <c r="F7" s="14"/>
      <c r="G7" s="14"/>
      <c r="H7" s="14"/>
      <c r="I7" s="14"/>
      <c r="J7" s="14"/>
      <c r="K7" s="14"/>
      <c r="L7" s="14"/>
      <c r="M7" s="17"/>
      <c r="N7" s="15"/>
      <c r="O7" s="15"/>
      <c r="P7" s="15"/>
      <c r="Q7" s="15"/>
      <c r="R7" s="15"/>
      <c r="S7" s="15"/>
      <c r="T7" s="15"/>
      <c r="U7" s="15"/>
    </row>
    <row r="8" spans="1:21" ht="25.5">
      <c r="A8" s="23"/>
      <c r="B8" s="18" t="s">
        <v>361</v>
      </c>
      <c r="C8" s="19"/>
      <c r="D8" s="21" t="s">
        <v>362</v>
      </c>
      <c r="E8" s="14"/>
      <c r="F8" s="14"/>
      <c r="G8" s="14"/>
      <c r="H8" s="14"/>
      <c r="I8" s="14"/>
      <c r="J8" s="14"/>
      <c r="K8" s="14"/>
      <c r="L8" s="14"/>
      <c r="M8" s="17"/>
      <c r="N8" s="15"/>
      <c r="O8" s="15"/>
      <c r="P8" s="15"/>
      <c r="Q8" s="15"/>
      <c r="R8" s="15"/>
      <c r="S8" s="15"/>
      <c r="T8" s="15"/>
      <c r="U8" s="15"/>
    </row>
    <row r="9" spans="1:21">
      <c r="A9" s="23"/>
      <c r="B9" s="18" t="s">
        <v>363</v>
      </c>
      <c r="C9" s="19"/>
      <c r="D9" s="20" t="s">
        <v>364</v>
      </c>
      <c r="E9" s="14"/>
      <c r="F9" s="14"/>
      <c r="G9" s="14"/>
      <c r="H9" s="14"/>
      <c r="I9" s="14"/>
      <c r="J9" s="14"/>
      <c r="K9" s="14"/>
      <c r="L9" s="14"/>
      <c r="M9" s="17"/>
      <c r="N9" s="15"/>
      <c r="O9" s="15"/>
      <c r="P9" s="15"/>
      <c r="Q9" s="15"/>
      <c r="R9" s="15"/>
      <c r="S9" s="15"/>
      <c r="T9" s="15"/>
      <c r="U9" s="15"/>
    </row>
    <row r="10" spans="1:21" ht="15" customHeight="1">
      <c r="A10" s="23" t="s">
        <v>365</v>
      </c>
      <c r="B10" s="18" t="s">
        <v>116</v>
      </c>
      <c r="C10" s="19" t="s">
        <v>117</v>
      </c>
      <c r="D10" s="20" t="s">
        <v>120</v>
      </c>
      <c r="E10" s="14"/>
      <c r="F10" s="14"/>
      <c r="G10" s="14"/>
      <c r="H10" s="14"/>
      <c r="I10" s="14"/>
      <c r="J10" s="14"/>
      <c r="K10" s="14"/>
      <c r="L10" s="14"/>
      <c r="M10" s="17"/>
      <c r="N10" s="15"/>
      <c r="O10" s="15"/>
      <c r="P10" s="15"/>
      <c r="Q10" s="15"/>
      <c r="R10" s="15"/>
      <c r="S10" s="15"/>
      <c r="T10" s="15"/>
      <c r="U10" s="15"/>
    </row>
    <row r="11" spans="1:21">
      <c r="A11" s="23"/>
      <c r="B11" s="18" t="s">
        <v>121</v>
      </c>
      <c r="C11" s="19" t="s">
        <v>122</v>
      </c>
      <c r="D11" s="20" t="s">
        <v>123</v>
      </c>
      <c r="E11" s="14"/>
      <c r="F11" s="14"/>
      <c r="G11" s="14"/>
      <c r="H11" s="14"/>
      <c r="I11" s="14"/>
      <c r="J11" s="14"/>
      <c r="K11" s="14"/>
      <c r="L11" s="14"/>
      <c r="M11" s="17"/>
      <c r="N11" s="15"/>
      <c r="O11" s="15"/>
      <c r="P11" s="15"/>
      <c r="Q11" s="15"/>
      <c r="R11" s="15"/>
      <c r="S11" s="15"/>
      <c r="T11" s="15"/>
      <c r="U11" s="15"/>
    </row>
    <row r="12" spans="1:21">
      <c r="A12" s="23"/>
      <c r="B12" s="18" t="s">
        <v>125</v>
      </c>
      <c r="C12" s="19" t="s">
        <v>122</v>
      </c>
      <c r="D12" s="20" t="s">
        <v>124</v>
      </c>
      <c r="E12" s="14"/>
      <c r="F12" s="14"/>
      <c r="G12" s="14"/>
      <c r="H12" s="14"/>
      <c r="I12" s="14"/>
      <c r="J12" s="14"/>
      <c r="K12" s="14"/>
      <c r="L12" s="14"/>
      <c r="M12" s="17"/>
      <c r="N12" s="15"/>
      <c r="O12" s="15"/>
      <c r="P12" s="15"/>
      <c r="Q12" s="15"/>
      <c r="R12" s="15"/>
      <c r="S12" s="15"/>
      <c r="T12" s="15"/>
      <c r="U12" s="15"/>
    </row>
    <row r="13" spans="1:21" ht="15" customHeight="1">
      <c r="A13" s="23" t="s">
        <v>366</v>
      </c>
      <c r="B13" s="18" t="s">
        <v>367</v>
      </c>
      <c r="C13" s="19" t="s">
        <v>220</v>
      </c>
      <c r="D13" s="20" t="s">
        <v>368</v>
      </c>
      <c r="E13" s="14"/>
      <c r="F13" s="14"/>
      <c r="G13" s="14"/>
      <c r="H13" s="14"/>
      <c r="I13" s="14"/>
      <c r="J13" s="14"/>
      <c r="K13" s="14"/>
      <c r="L13" s="14"/>
      <c r="M13" s="17"/>
      <c r="N13" s="15"/>
      <c r="O13" s="15"/>
      <c r="P13" s="15"/>
      <c r="Q13" s="15"/>
      <c r="R13" s="15"/>
      <c r="S13" s="15"/>
      <c r="T13" s="15"/>
      <c r="U13" s="15"/>
    </row>
    <row r="14" spans="1:21">
      <c r="A14" s="23"/>
      <c r="B14" s="18" t="s">
        <v>369</v>
      </c>
      <c r="C14" s="19" t="s">
        <v>220</v>
      </c>
      <c r="D14" s="20" t="s">
        <v>370</v>
      </c>
      <c r="E14" s="14"/>
      <c r="F14" s="14"/>
      <c r="G14" s="14"/>
      <c r="H14" s="14"/>
      <c r="I14" s="14"/>
      <c r="J14" s="14"/>
      <c r="K14" s="14"/>
      <c r="L14" s="14"/>
      <c r="M14" s="17"/>
      <c r="N14" s="15"/>
      <c r="O14" s="15"/>
      <c r="P14" s="15"/>
      <c r="Q14" s="15"/>
      <c r="R14" s="15"/>
      <c r="S14" s="15"/>
      <c r="T14" s="15"/>
      <c r="U14" s="15"/>
    </row>
    <row r="15" spans="1:21">
      <c r="A15" s="23"/>
      <c r="B15" s="18" t="s">
        <v>371</v>
      </c>
      <c r="C15" s="19" t="s">
        <v>157</v>
      </c>
      <c r="D15" s="20" t="s">
        <v>372</v>
      </c>
      <c r="E15" s="14"/>
      <c r="F15" s="14"/>
      <c r="G15" s="14"/>
      <c r="H15" s="14"/>
      <c r="I15" s="14"/>
      <c r="J15" s="14"/>
      <c r="K15" s="14"/>
      <c r="L15" s="14"/>
      <c r="M15" s="17"/>
      <c r="N15" s="15"/>
      <c r="O15" s="15"/>
      <c r="P15" s="15"/>
      <c r="Q15" s="15"/>
      <c r="R15" s="15"/>
      <c r="S15" s="15"/>
      <c r="T15" s="15"/>
      <c r="U15" s="15"/>
    </row>
    <row r="16" spans="1:21">
      <c r="A16" s="23"/>
      <c r="B16" s="18" t="s">
        <v>373</v>
      </c>
      <c r="C16" s="19" t="s">
        <v>236</v>
      </c>
      <c r="D16" s="20" t="s">
        <v>374</v>
      </c>
      <c r="E16" s="14"/>
      <c r="F16" s="14"/>
      <c r="G16" s="14"/>
      <c r="H16" s="14"/>
      <c r="I16" s="14"/>
      <c r="J16" s="14"/>
      <c r="K16" s="14"/>
      <c r="L16" s="14"/>
      <c r="M16" s="17"/>
      <c r="N16" s="15"/>
      <c r="O16" s="15"/>
      <c r="P16" s="15"/>
      <c r="Q16" s="15"/>
      <c r="R16" s="15"/>
      <c r="S16" s="15"/>
      <c r="T16" s="15"/>
      <c r="U16" s="15"/>
    </row>
    <row r="17" spans="1:21">
      <c r="A17" s="23"/>
      <c r="B17" s="18" t="s">
        <v>229</v>
      </c>
      <c r="C17" s="19" t="s">
        <v>220</v>
      </c>
      <c r="D17" s="20" t="s">
        <v>375</v>
      </c>
      <c r="E17" s="14"/>
      <c r="F17" s="14"/>
      <c r="G17" s="14"/>
      <c r="H17" s="14"/>
      <c r="I17" s="14"/>
      <c r="J17" s="14"/>
      <c r="K17" s="14"/>
      <c r="L17" s="14"/>
      <c r="M17" s="17"/>
      <c r="N17" s="15"/>
      <c r="O17" s="15"/>
      <c r="P17" s="15"/>
      <c r="Q17" s="15"/>
      <c r="R17" s="15"/>
      <c r="S17" s="15"/>
      <c r="T17" s="15"/>
      <c r="U17" s="15"/>
    </row>
    <row r="18" spans="1:21" ht="15" customHeight="1">
      <c r="A18" s="23" t="s">
        <v>376</v>
      </c>
      <c r="B18" s="18" t="s">
        <v>243</v>
      </c>
      <c r="C18" s="19" t="s">
        <v>157</v>
      </c>
      <c r="D18" s="20" t="s">
        <v>377</v>
      </c>
      <c r="E18" s="14"/>
      <c r="F18" s="14"/>
      <c r="G18" s="14"/>
      <c r="H18" s="14"/>
      <c r="I18" s="14"/>
      <c r="J18" s="14"/>
      <c r="K18" s="14"/>
      <c r="L18" s="14"/>
      <c r="M18" s="17"/>
      <c r="N18" s="15"/>
      <c r="O18" s="15"/>
      <c r="P18" s="15"/>
      <c r="Q18" s="15"/>
      <c r="R18" s="15"/>
      <c r="S18" s="15"/>
      <c r="T18" s="15"/>
      <c r="U18" s="15"/>
    </row>
    <row r="19" spans="1:21">
      <c r="A19" s="23"/>
      <c r="B19" s="18" t="s">
        <v>378</v>
      </c>
      <c r="C19" s="19" t="s">
        <v>157</v>
      </c>
      <c r="D19" s="20" t="s">
        <v>230</v>
      </c>
      <c r="E19" s="14"/>
      <c r="F19" s="14"/>
      <c r="G19" s="14"/>
      <c r="H19" s="14"/>
      <c r="I19" s="14"/>
      <c r="J19" s="14"/>
      <c r="K19" s="14"/>
      <c r="L19" s="14"/>
      <c r="M19" s="17"/>
      <c r="N19" s="15"/>
      <c r="O19" s="15"/>
      <c r="P19" s="15"/>
      <c r="Q19" s="15"/>
      <c r="R19" s="15"/>
      <c r="S19" s="15"/>
      <c r="T19" s="15"/>
      <c r="U19" s="15"/>
    </row>
    <row r="20" spans="1:21">
      <c r="A20" s="23"/>
      <c r="B20" s="18" t="s">
        <v>379</v>
      </c>
      <c r="C20" s="19" t="s">
        <v>220</v>
      </c>
      <c r="D20" s="20" t="s">
        <v>380</v>
      </c>
      <c r="E20" s="14"/>
      <c r="F20" s="14"/>
      <c r="G20" s="14"/>
      <c r="H20" s="14"/>
      <c r="I20" s="14"/>
      <c r="J20" s="14"/>
      <c r="K20" s="14"/>
      <c r="L20" s="14"/>
      <c r="M20" s="17"/>
      <c r="N20" s="15"/>
      <c r="O20" s="15"/>
      <c r="P20" s="15"/>
      <c r="Q20" s="15"/>
      <c r="R20" s="15"/>
      <c r="S20" s="15"/>
      <c r="T20" s="15"/>
      <c r="U20" s="15"/>
    </row>
    <row r="21" spans="1:21" ht="15" customHeight="1">
      <c r="A21" s="23" t="s">
        <v>381</v>
      </c>
      <c r="B21" s="18" t="s">
        <v>382</v>
      </c>
      <c r="C21" s="19" t="s">
        <v>157</v>
      </c>
      <c r="D21" s="20" t="s">
        <v>383</v>
      </c>
      <c r="E21" s="14"/>
      <c r="F21" s="14"/>
      <c r="G21" s="14"/>
      <c r="H21" s="14"/>
      <c r="I21" s="14"/>
      <c r="J21" s="14"/>
      <c r="K21" s="14"/>
      <c r="L21" s="14"/>
      <c r="M21" s="17"/>
      <c r="N21" s="15"/>
      <c r="O21" s="15"/>
      <c r="P21" s="15"/>
      <c r="Q21" s="15"/>
      <c r="R21" s="15"/>
      <c r="S21" s="15"/>
      <c r="T21" s="15"/>
      <c r="U21" s="15"/>
    </row>
    <row r="22" spans="1:21">
      <c r="A22" s="23"/>
      <c r="B22" s="18" t="s">
        <v>384</v>
      </c>
      <c r="C22" s="19" t="s">
        <v>157</v>
      </c>
      <c r="D22" s="20" t="s">
        <v>385</v>
      </c>
      <c r="E22" s="14"/>
      <c r="F22" s="14"/>
      <c r="G22" s="14"/>
      <c r="H22" s="14"/>
      <c r="I22" s="14"/>
      <c r="J22" s="14"/>
      <c r="K22" s="14"/>
      <c r="L22" s="14"/>
      <c r="M22" s="17"/>
      <c r="N22" s="15"/>
      <c r="O22" s="15"/>
      <c r="P22" s="15"/>
      <c r="Q22" s="15"/>
      <c r="R22" s="15"/>
      <c r="S22" s="15"/>
      <c r="T22" s="15"/>
      <c r="U22" s="15"/>
    </row>
    <row r="23" spans="1:21">
      <c r="A23" s="23"/>
      <c r="B23" s="18" t="s">
        <v>386</v>
      </c>
      <c r="C23" s="19" t="s">
        <v>337</v>
      </c>
      <c r="D23" s="20" t="s">
        <v>338</v>
      </c>
      <c r="E23" s="14"/>
      <c r="F23" s="14"/>
      <c r="G23" s="14"/>
      <c r="H23" s="14"/>
      <c r="I23" s="14"/>
      <c r="J23" s="14"/>
      <c r="K23" s="14"/>
      <c r="L23" s="14"/>
      <c r="M23" s="17"/>
      <c r="N23" s="15"/>
      <c r="O23" s="15"/>
      <c r="P23" s="15"/>
      <c r="Q23" s="15"/>
      <c r="R23" s="15"/>
      <c r="S23" s="15"/>
      <c r="T23" s="15"/>
      <c r="U23" s="15"/>
    </row>
    <row r="24" spans="1:21">
      <c r="A24" s="23"/>
      <c r="B24" s="18" t="s">
        <v>387</v>
      </c>
      <c r="C24" s="19" t="s">
        <v>388</v>
      </c>
      <c r="D24" s="20" t="s">
        <v>112</v>
      </c>
      <c r="E24" s="14"/>
      <c r="F24" s="14"/>
      <c r="G24" s="14"/>
      <c r="H24" s="14"/>
      <c r="I24" s="14"/>
      <c r="J24" s="14"/>
      <c r="K24" s="14"/>
      <c r="L24" s="14"/>
      <c r="M24" s="17"/>
      <c r="N24" s="15"/>
      <c r="O24" s="15"/>
      <c r="P24" s="15"/>
      <c r="Q24" s="15"/>
      <c r="R24" s="15"/>
      <c r="S24" s="15"/>
      <c r="T24" s="15"/>
      <c r="U24" s="15"/>
    </row>
    <row r="25" spans="1:21" ht="15" customHeight="1">
      <c r="A25" s="23" t="s">
        <v>260</v>
      </c>
      <c r="B25" s="18" t="s">
        <v>268</v>
      </c>
      <c r="C25" s="19" t="s">
        <v>269</v>
      </c>
      <c r="D25" s="20" t="s">
        <v>389</v>
      </c>
      <c r="E25" s="14"/>
      <c r="F25" s="14"/>
      <c r="G25" s="14"/>
      <c r="H25" s="14"/>
      <c r="I25" s="14"/>
      <c r="J25" s="14"/>
      <c r="K25" s="14"/>
      <c r="L25" s="14"/>
      <c r="M25" s="17"/>
      <c r="N25" s="15"/>
      <c r="O25" s="15"/>
      <c r="P25" s="15"/>
      <c r="Q25" s="15"/>
      <c r="R25" s="15"/>
      <c r="S25" s="15"/>
      <c r="T25" s="15"/>
      <c r="U25" s="15"/>
    </row>
    <row r="26" spans="1:21">
      <c r="A26" s="23"/>
      <c r="B26" s="18" t="s">
        <v>390</v>
      </c>
      <c r="C26" s="19" t="s">
        <v>388</v>
      </c>
      <c r="D26" s="20" t="s">
        <v>112</v>
      </c>
      <c r="E26" s="14"/>
      <c r="F26" s="14"/>
      <c r="G26" s="14"/>
      <c r="H26" s="14"/>
      <c r="I26" s="14"/>
      <c r="J26" s="14"/>
      <c r="K26" s="14"/>
      <c r="L26" s="14"/>
      <c r="M26" s="17"/>
      <c r="N26" s="15"/>
      <c r="O26" s="15"/>
      <c r="P26" s="15"/>
      <c r="Q26" s="15"/>
      <c r="R26" s="15"/>
      <c r="S26" s="15"/>
      <c r="T26" s="15"/>
      <c r="U26" s="15"/>
    </row>
    <row r="27" spans="1:21">
      <c r="A27" s="23"/>
      <c r="B27" s="18" t="s">
        <v>391</v>
      </c>
      <c r="C27" s="19" t="s">
        <v>317</v>
      </c>
      <c r="D27" s="20" t="s">
        <v>392</v>
      </c>
      <c r="E27" s="14"/>
      <c r="F27" s="14"/>
      <c r="G27" s="14"/>
      <c r="H27" s="14"/>
      <c r="I27" s="14"/>
      <c r="J27" s="14"/>
      <c r="K27" s="14"/>
      <c r="L27" s="14"/>
      <c r="M27" s="17"/>
      <c r="N27" s="15"/>
      <c r="O27" s="15"/>
      <c r="P27" s="15"/>
      <c r="Q27" s="15"/>
      <c r="R27" s="15"/>
      <c r="S27" s="15"/>
      <c r="T27" s="15"/>
      <c r="U27" s="15"/>
    </row>
    <row r="28" spans="1:21">
      <c r="A28" s="23"/>
      <c r="B28" s="18" t="s">
        <v>324</v>
      </c>
      <c r="C28" s="19" t="s">
        <v>325</v>
      </c>
      <c r="D28" s="20" t="s">
        <v>326</v>
      </c>
      <c r="E28" s="14"/>
      <c r="F28" s="14"/>
      <c r="G28" s="14"/>
      <c r="H28" s="14"/>
      <c r="I28" s="14"/>
      <c r="J28" s="14"/>
      <c r="K28" s="14"/>
      <c r="L28" s="14"/>
      <c r="M28" s="17"/>
      <c r="N28" s="15"/>
      <c r="O28" s="15"/>
      <c r="P28" s="15"/>
      <c r="Q28" s="15"/>
      <c r="R28" s="15"/>
      <c r="S28" s="15"/>
      <c r="T28" s="15"/>
      <c r="U28" s="15"/>
    </row>
  </sheetData>
  <mergeCells count="10">
    <mergeCell ref="A1:U1"/>
    <mergeCell ref="A2:U2"/>
    <mergeCell ref="E3:L3"/>
    <mergeCell ref="N3:U3"/>
    <mergeCell ref="A5:A9"/>
    <mergeCell ref="A10:A12"/>
    <mergeCell ref="A13:A17"/>
    <mergeCell ref="A18:A20"/>
    <mergeCell ref="A21:A24"/>
    <mergeCell ref="A25:A28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J1"/>
    </sheetView>
  </sheetViews>
  <sheetFormatPr defaultColWidth="8.6640625" defaultRowHeight="14.25"/>
  <cols>
    <col min="1" max="1" width="16" customWidth="1"/>
    <col min="2" max="2" width="36" customWidth="1"/>
    <col min="3" max="3" width="13" customWidth="1"/>
    <col min="4" max="4" width="20" customWidth="1"/>
    <col min="5" max="10" width="16" customWidth="1"/>
  </cols>
  <sheetData>
    <row r="1" spans="1:10" ht="25.5" customHeight="1">
      <c r="A1" s="24" t="s">
        <v>393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customHeight="1">
      <c r="A2" s="25" t="s">
        <v>394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21.75" customHeight="1">
      <c r="A4" s="12" t="s">
        <v>80</v>
      </c>
      <c r="B4" s="12" t="s">
        <v>81</v>
      </c>
      <c r="C4" s="12" t="s">
        <v>82</v>
      </c>
      <c r="D4" s="12" t="s">
        <v>83</v>
      </c>
      <c r="E4" s="2" t="s">
        <v>395</v>
      </c>
      <c r="F4" s="2" t="s">
        <v>396</v>
      </c>
      <c r="G4" s="2" t="s">
        <v>397</v>
      </c>
      <c r="H4" s="2" t="s">
        <v>398</v>
      </c>
      <c r="I4" s="2" t="s">
        <v>399</v>
      </c>
      <c r="J4" s="2" t="s">
        <v>400</v>
      </c>
    </row>
    <row r="5" spans="1:10" ht="15" customHeight="1">
      <c r="A5" s="23" t="s">
        <v>84</v>
      </c>
      <c r="B5" s="18" t="s">
        <v>85</v>
      </c>
      <c r="C5" s="19"/>
      <c r="D5" s="20" t="s">
        <v>401</v>
      </c>
      <c r="E5" s="22"/>
      <c r="F5" s="22"/>
      <c r="G5" s="22"/>
      <c r="H5" s="22"/>
      <c r="I5" s="22"/>
      <c r="J5" s="22"/>
    </row>
    <row r="6" spans="1:10">
      <c r="A6" s="23"/>
      <c r="B6" s="18" t="s">
        <v>92</v>
      </c>
      <c r="C6" s="19"/>
      <c r="D6" s="20" t="s">
        <v>402</v>
      </c>
      <c r="E6" s="22"/>
      <c r="F6" s="22"/>
      <c r="G6" s="22"/>
      <c r="H6" s="22"/>
      <c r="I6" s="22"/>
      <c r="J6" s="22"/>
    </row>
    <row r="7" spans="1:10">
      <c r="A7" s="23"/>
      <c r="B7" s="18" t="s">
        <v>104</v>
      </c>
      <c r="C7" s="19" t="s">
        <v>105</v>
      </c>
      <c r="D7" s="21" t="s">
        <v>69</v>
      </c>
      <c r="E7" s="22"/>
      <c r="F7" s="22"/>
      <c r="G7" s="22"/>
      <c r="H7" s="22"/>
      <c r="I7" s="22"/>
      <c r="J7" s="22"/>
    </row>
    <row r="8" spans="1:10">
      <c r="A8" s="23"/>
      <c r="B8" s="18" t="s">
        <v>403</v>
      </c>
      <c r="C8" s="19"/>
      <c r="D8" s="20" t="s">
        <v>404</v>
      </c>
      <c r="E8" s="22"/>
      <c r="F8" s="22"/>
      <c r="G8" s="22"/>
      <c r="H8" s="22"/>
      <c r="I8" s="22"/>
      <c r="J8" s="22"/>
    </row>
    <row r="9" spans="1:10">
      <c r="A9" s="23"/>
      <c r="B9" s="18" t="s">
        <v>405</v>
      </c>
      <c r="C9" s="19"/>
      <c r="D9" s="20" t="s">
        <v>406</v>
      </c>
      <c r="E9" s="22"/>
      <c r="F9" s="22"/>
      <c r="G9" s="22"/>
      <c r="H9" s="22"/>
      <c r="I9" s="22"/>
      <c r="J9" s="22"/>
    </row>
    <row r="10" spans="1:10" ht="15" customHeight="1">
      <c r="A10" s="23" t="s">
        <v>365</v>
      </c>
      <c r="B10" s="18" t="s">
        <v>407</v>
      </c>
      <c r="C10" s="19" t="s">
        <v>117</v>
      </c>
      <c r="D10" s="20" t="s">
        <v>118</v>
      </c>
      <c r="E10" s="22"/>
      <c r="F10" s="22"/>
      <c r="G10" s="22"/>
      <c r="H10" s="22"/>
      <c r="I10" s="22"/>
      <c r="J10" s="22"/>
    </row>
    <row r="11" spans="1:10">
      <c r="A11" s="23"/>
      <c r="B11" s="18" t="s">
        <v>408</v>
      </c>
      <c r="C11" s="19" t="s">
        <v>117</v>
      </c>
      <c r="D11" s="20" t="s">
        <v>409</v>
      </c>
      <c r="E11" s="22"/>
      <c r="F11" s="22"/>
      <c r="G11" s="22"/>
      <c r="H11" s="22"/>
      <c r="I11" s="22"/>
      <c r="J11" s="22"/>
    </row>
    <row r="12" spans="1:10">
      <c r="A12" s="23"/>
      <c r="B12" s="18" t="s">
        <v>410</v>
      </c>
      <c r="C12" s="19" t="s">
        <v>117</v>
      </c>
      <c r="D12" s="20" t="s">
        <v>411</v>
      </c>
      <c r="E12" s="22"/>
      <c r="F12" s="22"/>
      <c r="G12" s="22"/>
      <c r="H12" s="22"/>
      <c r="I12" s="22"/>
      <c r="J12" s="22"/>
    </row>
    <row r="13" spans="1:10">
      <c r="A13" s="23"/>
      <c r="B13" s="18" t="s">
        <v>412</v>
      </c>
      <c r="C13" s="19" t="s">
        <v>122</v>
      </c>
      <c r="D13" s="20" t="s">
        <v>123</v>
      </c>
      <c r="E13" s="22"/>
      <c r="F13" s="22"/>
      <c r="G13" s="22"/>
      <c r="H13" s="22"/>
      <c r="I13" s="22"/>
      <c r="J13" s="22"/>
    </row>
    <row r="14" spans="1:10" ht="15" customHeight="1">
      <c r="A14" s="23" t="s">
        <v>413</v>
      </c>
      <c r="B14" s="18" t="s">
        <v>414</v>
      </c>
      <c r="C14" s="19" t="s">
        <v>157</v>
      </c>
      <c r="D14" s="20" t="s">
        <v>415</v>
      </c>
      <c r="E14" s="22"/>
      <c r="F14" s="22"/>
      <c r="G14" s="22"/>
      <c r="H14" s="22"/>
      <c r="I14" s="22"/>
      <c r="J14" s="22"/>
    </row>
    <row r="15" spans="1:10">
      <c r="A15" s="23"/>
      <c r="B15" s="18" t="s">
        <v>243</v>
      </c>
      <c r="C15" s="19" t="s">
        <v>157</v>
      </c>
      <c r="D15" s="20" t="s">
        <v>416</v>
      </c>
      <c r="E15" s="22"/>
      <c r="F15" s="22"/>
      <c r="G15" s="22"/>
      <c r="H15" s="22"/>
      <c r="I15" s="22"/>
      <c r="J15" s="22"/>
    </row>
    <row r="16" spans="1:10">
      <c r="A16" s="23"/>
      <c r="B16" s="18" t="s">
        <v>417</v>
      </c>
      <c r="C16" s="19" t="s">
        <v>220</v>
      </c>
      <c r="D16" s="20" t="s">
        <v>180</v>
      </c>
      <c r="E16" s="22"/>
      <c r="F16" s="22"/>
      <c r="G16" s="22"/>
      <c r="H16" s="22"/>
      <c r="I16" s="22"/>
      <c r="J16" s="22"/>
    </row>
    <row r="17" spans="1:10">
      <c r="A17" s="23"/>
      <c r="B17" s="18" t="s">
        <v>418</v>
      </c>
      <c r="C17" s="19" t="s">
        <v>220</v>
      </c>
      <c r="D17" s="20" t="s">
        <v>230</v>
      </c>
      <c r="E17" s="22"/>
      <c r="F17" s="22"/>
      <c r="G17" s="22"/>
      <c r="H17" s="22"/>
      <c r="I17" s="22"/>
      <c r="J17" s="22"/>
    </row>
    <row r="18" spans="1:10">
      <c r="A18" s="23"/>
      <c r="B18" s="18" t="s">
        <v>419</v>
      </c>
      <c r="C18" s="19" t="s">
        <v>220</v>
      </c>
      <c r="D18" s="20" t="s">
        <v>420</v>
      </c>
      <c r="E18" s="22"/>
      <c r="F18" s="22"/>
      <c r="G18" s="22"/>
      <c r="H18" s="22"/>
      <c r="I18" s="22"/>
      <c r="J18" s="22"/>
    </row>
    <row r="19" spans="1:10">
      <c r="A19" s="23"/>
      <c r="B19" s="18" t="s">
        <v>421</v>
      </c>
      <c r="C19" s="19" t="s">
        <v>157</v>
      </c>
      <c r="D19" s="20" t="s">
        <v>385</v>
      </c>
      <c r="E19" s="22"/>
      <c r="F19" s="22"/>
      <c r="G19" s="22"/>
      <c r="H19" s="22"/>
      <c r="I19" s="22"/>
      <c r="J19" s="22"/>
    </row>
    <row r="20" spans="1:10">
      <c r="A20" s="23"/>
      <c r="B20" s="18" t="s">
        <v>422</v>
      </c>
      <c r="C20" s="19" t="s">
        <v>157</v>
      </c>
      <c r="D20" s="20" t="s">
        <v>195</v>
      </c>
      <c r="E20" s="22"/>
      <c r="F20" s="22"/>
      <c r="G20" s="22"/>
      <c r="H20" s="22"/>
      <c r="I20" s="22"/>
      <c r="J20" s="22"/>
    </row>
    <row r="21" spans="1:10">
      <c r="A21" s="23"/>
      <c r="B21" s="18" t="s">
        <v>423</v>
      </c>
      <c r="C21" s="19" t="s">
        <v>424</v>
      </c>
      <c r="D21" s="20" t="s">
        <v>195</v>
      </c>
      <c r="E21" s="22"/>
      <c r="F21" s="22"/>
      <c r="G21" s="22"/>
      <c r="H21" s="22"/>
      <c r="I21" s="22"/>
      <c r="J21" s="22"/>
    </row>
    <row r="22" spans="1:10">
      <c r="A22" s="23"/>
      <c r="B22" s="18" t="s">
        <v>425</v>
      </c>
      <c r="C22" s="19" t="s">
        <v>424</v>
      </c>
      <c r="D22" s="20" t="s">
        <v>385</v>
      </c>
      <c r="E22" s="22"/>
      <c r="F22" s="22"/>
      <c r="G22" s="22"/>
      <c r="H22" s="22"/>
      <c r="I22" s="22"/>
      <c r="J22" s="22"/>
    </row>
    <row r="23" spans="1:10" ht="15" customHeight="1">
      <c r="A23" s="23" t="s">
        <v>260</v>
      </c>
      <c r="B23" s="18" t="s">
        <v>268</v>
      </c>
      <c r="C23" s="19" t="s">
        <v>269</v>
      </c>
      <c r="D23" s="20" t="s">
        <v>426</v>
      </c>
      <c r="E23" s="22"/>
      <c r="F23" s="22"/>
      <c r="G23" s="22"/>
      <c r="H23" s="22"/>
      <c r="I23" s="22"/>
      <c r="J23" s="22"/>
    </row>
    <row r="24" spans="1:10">
      <c r="A24" s="23"/>
      <c r="B24" s="18" t="s">
        <v>390</v>
      </c>
      <c r="C24" s="19" t="s">
        <v>279</v>
      </c>
      <c r="D24" s="20" t="s">
        <v>112</v>
      </c>
      <c r="E24" s="22"/>
      <c r="F24" s="22"/>
      <c r="G24" s="22"/>
      <c r="H24" s="22"/>
      <c r="I24" s="22"/>
      <c r="J24" s="22"/>
    </row>
    <row r="25" spans="1:10">
      <c r="A25" s="23"/>
      <c r="B25" s="18" t="s">
        <v>391</v>
      </c>
      <c r="C25" s="19" t="s">
        <v>317</v>
      </c>
      <c r="D25" s="20" t="s">
        <v>427</v>
      </c>
      <c r="E25" s="22"/>
      <c r="F25" s="22"/>
      <c r="G25" s="22"/>
      <c r="H25" s="22"/>
      <c r="I25" s="22"/>
      <c r="J25" s="22"/>
    </row>
    <row r="26" spans="1:10">
      <c r="A26" s="23"/>
      <c r="B26" s="18" t="s">
        <v>324</v>
      </c>
      <c r="C26" s="19" t="s">
        <v>325</v>
      </c>
      <c r="D26" s="20" t="s">
        <v>326</v>
      </c>
      <c r="E26" s="22"/>
      <c r="F26" s="22"/>
      <c r="G26" s="22"/>
      <c r="H26" s="22"/>
      <c r="I26" s="22"/>
      <c r="J26" s="22"/>
    </row>
  </sheetData>
  <mergeCells count="6">
    <mergeCell ref="A23:A26"/>
    <mergeCell ref="A1:J1"/>
    <mergeCell ref="A2:J2"/>
    <mergeCell ref="A5:A9"/>
    <mergeCell ref="A10:A13"/>
    <mergeCell ref="A14:A2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J1"/>
    </sheetView>
  </sheetViews>
  <sheetFormatPr defaultColWidth="8.6640625" defaultRowHeight="14.25"/>
  <cols>
    <col min="1" max="1" width="16" customWidth="1"/>
    <col min="2" max="2" width="36" customWidth="1"/>
    <col min="3" max="3" width="13" customWidth="1"/>
    <col min="4" max="4" width="20" customWidth="1"/>
    <col min="5" max="10" width="16" customWidth="1"/>
  </cols>
  <sheetData>
    <row r="1" spans="1:10" ht="25.5" customHeight="1">
      <c r="A1" s="24" t="s">
        <v>428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customHeight="1">
      <c r="A2" s="25" t="s">
        <v>429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21.75" customHeight="1">
      <c r="A4" s="12" t="s">
        <v>80</v>
      </c>
      <c r="B4" s="12" t="s">
        <v>81</v>
      </c>
      <c r="C4" s="12" t="s">
        <v>82</v>
      </c>
      <c r="D4" s="12" t="s">
        <v>83</v>
      </c>
      <c r="E4" s="2" t="s">
        <v>395</v>
      </c>
      <c r="F4" s="2" t="s">
        <v>396</v>
      </c>
      <c r="G4" s="2" t="s">
        <v>397</v>
      </c>
      <c r="H4" s="2" t="s">
        <v>398</v>
      </c>
      <c r="I4" s="2" t="s">
        <v>399</v>
      </c>
      <c r="J4" s="2" t="s">
        <v>400</v>
      </c>
    </row>
    <row r="5" spans="1:10" ht="15" customHeight="1">
      <c r="A5" s="23" t="s">
        <v>84</v>
      </c>
      <c r="B5" s="18" t="s">
        <v>85</v>
      </c>
      <c r="C5" s="19"/>
      <c r="D5" s="20" t="s">
        <v>91</v>
      </c>
      <c r="E5" s="22"/>
      <c r="F5" s="22"/>
      <c r="G5" s="22"/>
      <c r="H5" s="22"/>
      <c r="I5" s="22"/>
      <c r="J5" s="22"/>
    </row>
    <row r="6" spans="1:10">
      <c r="A6" s="23"/>
      <c r="B6" s="18" t="s">
        <v>92</v>
      </c>
      <c r="C6" s="19"/>
      <c r="D6" s="20" t="s">
        <v>430</v>
      </c>
      <c r="E6" s="22"/>
      <c r="F6" s="22"/>
      <c r="G6" s="22"/>
      <c r="H6" s="22"/>
      <c r="I6" s="22"/>
      <c r="J6" s="22"/>
    </row>
    <row r="7" spans="1:10">
      <c r="A7" s="23"/>
      <c r="B7" s="18" t="s">
        <v>104</v>
      </c>
      <c r="C7" s="19" t="s">
        <v>105</v>
      </c>
      <c r="D7" s="21" t="s">
        <v>69</v>
      </c>
      <c r="E7" s="22"/>
      <c r="F7" s="22"/>
      <c r="G7" s="22"/>
      <c r="H7" s="22"/>
      <c r="I7" s="22"/>
      <c r="J7" s="22"/>
    </row>
    <row r="8" spans="1:10">
      <c r="A8" s="23"/>
      <c r="B8" s="18" t="s">
        <v>431</v>
      </c>
      <c r="C8" s="19"/>
      <c r="D8" s="20" t="s">
        <v>432</v>
      </c>
      <c r="E8" s="22"/>
      <c r="F8" s="22"/>
      <c r="G8" s="22"/>
      <c r="H8" s="22"/>
      <c r="I8" s="22"/>
      <c r="J8" s="22"/>
    </row>
    <row r="9" spans="1:10" ht="15" customHeight="1">
      <c r="A9" s="23" t="s">
        <v>365</v>
      </c>
      <c r="B9" s="18" t="s">
        <v>433</v>
      </c>
      <c r="C9" s="19" t="s">
        <v>117</v>
      </c>
      <c r="D9" s="20" t="s">
        <v>434</v>
      </c>
      <c r="E9" s="22"/>
      <c r="F9" s="22"/>
      <c r="G9" s="22"/>
      <c r="H9" s="22"/>
      <c r="I9" s="22"/>
      <c r="J9" s="22"/>
    </row>
    <row r="10" spans="1:10">
      <c r="A10" s="23"/>
      <c r="B10" s="18" t="s">
        <v>435</v>
      </c>
      <c r="C10" s="19" t="s">
        <v>122</v>
      </c>
      <c r="D10" s="20" t="s">
        <v>124</v>
      </c>
      <c r="E10" s="22"/>
      <c r="F10" s="22"/>
      <c r="G10" s="22"/>
      <c r="H10" s="22"/>
      <c r="I10" s="22"/>
      <c r="J10" s="22"/>
    </row>
    <row r="11" spans="1:10">
      <c r="A11" s="23"/>
      <c r="B11" s="18" t="s">
        <v>436</v>
      </c>
      <c r="C11" s="19" t="s">
        <v>437</v>
      </c>
      <c r="D11" s="20" t="s">
        <v>438</v>
      </c>
      <c r="E11" s="22"/>
      <c r="F11" s="22"/>
      <c r="G11" s="22"/>
      <c r="H11" s="22"/>
      <c r="I11" s="22"/>
      <c r="J11" s="22"/>
    </row>
    <row r="12" spans="1:10">
      <c r="A12" s="23"/>
      <c r="B12" s="18" t="s">
        <v>439</v>
      </c>
      <c r="C12" s="19" t="s">
        <v>437</v>
      </c>
      <c r="D12" s="20" t="s">
        <v>440</v>
      </c>
      <c r="E12" s="22"/>
      <c r="F12" s="22"/>
      <c r="G12" s="22"/>
      <c r="H12" s="22"/>
      <c r="I12" s="22"/>
      <c r="J12" s="22"/>
    </row>
    <row r="13" spans="1:10" ht="15" customHeight="1">
      <c r="A13" s="23" t="s">
        <v>441</v>
      </c>
      <c r="B13" s="18" t="s">
        <v>442</v>
      </c>
      <c r="C13" s="19" t="s">
        <v>443</v>
      </c>
      <c r="D13" s="20" t="s">
        <v>112</v>
      </c>
      <c r="E13" s="22"/>
      <c r="F13" s="22"/>
      <c r="G13" s="22"/>
      <c r="H13" s="22"/>
      <c r="I13" s="22"/>
      <c r="J13" s="22"/>
    </row>
    <row r="14" spans="1:10">
      <c r="A14" s="23"/>
      <c r="B14" s="18" t="s">
        <v>444</v>
      </c>
      <c r="C14" s="19" t="s">
        <v>443</v>
      </c>
      <c r="D14" s="20" t="s">
        <v>445</v>
      </c>
      <c r="E14" s="22"/>
      <c r="F14" s="22"/>
      <c r="G14" s="22"/>
      <c r="H14" s="22"/>
      <c r="I14" s="22"/>
      <c r="J14" s="22"/>
    </row>
    <row r="15" spans="1:10">
      <c r="A15" s="23"/>
      <c r="B15" s="18" t="s">
        <v>446</v>
      </c>
      <c r="C15" s="19" t="s">
        <v>443</v>
      </c>
      <c r="D15" s="20" t="s">
        <v>447</v>
      </c>
      <c r="E15" s="22"/>
      <c r="F15" s="22"/>
      <c r="G15" s="22"/>
      <c r="H15" s="22"/>
      <c r="I15" s="22"/>
      <c r="J15" s="22"/>
    </row>
    <row r="16" spans="1:10">
      <c r="A16" s="23"/>
      <c r="B16" s="18" t="s">
        <v>448</v>
      </c>
      <c r="C16" s="19" t="s">
        <v>443</v>
      </c>
      <c r="D16" s="20" t="s">
        <v>449</v>
      </c>
      <c r="E16" s="22"/>
      <c r="F16" s="22"/>
      <c r="G16" s="22"/>
      <c r="H16" s="22"/>
      <c r="I16" s="22"/>
      <c r="J16" s="22"/>
    </row>
    <row r="17" spans="1:10">
      <c r="A17" s="23"/>
      <c r="B17" s="18" t="s">
        <v>450</v>
      </c>
      <c r="C17" s="19" t="s">
        <v>443</v>
      </c>
      <c r="D17" s="20" t="s">
        <v>451</v>
      </c>
      <c r="E17" s="22"/>
      <c r="F17" s="22"/>
      <c r="G17" s="22"/>
      <c r="H17" s="22"/>
      <c r="I17" s="22"/>
      <c r="J17" s="22"/>
    </row>
    <row r="18" spans="1:10">
      <c r="A18" s="23"/>
      <c r="B18" s="18" t="s">
        <v>452</v>
      </c>
      <c r="C18" s="19" t="s">
        <v>424</v>
      </c>
      <c r="D18" s="20" t="s">
        <v>453</v>
      </c>
      <c r="E18" s="22"/>
      <c r="F18" s="22"/>
      <c r="G18" s="22"/>
      <c r="H18" s="22"/>
      <c r="I18" s="22"/>
      <c r="J18" s="22"/>
    </row>
    <row r="19" spans="1:10">
      <c r="A19" s="23"/>
      <c r="B19" s="18" t="s">
        <v>454</v>
      </c>
      <c r="C19" s="19" t="s">
        <v>455</v>
      </c>
      <c r="D19" s="20" t="s">
        <v>338</v>
      </c>
      <c r="E19" s="22"/>
      <c r="F19" s="22"/>
      <c r="G19" s="22"/>
      <c r="H19" s="22"/>
      <c r="I19" s="22"/>
      <c r="J19" s="22"/>
    </row>
    <row r="20" spans="1:10" ht="15" customHeight="1">
      <c r="A20" s="23" t="s">
        <v>456</v>
      </c>
      <c r="B20" s="18" t="s">
        <v>457</v>
      </c>
      <c r="C20" s="19" t="s">
        <v>220</v>
      </c>
      <c r="D20" s="20" t="s">
        <v>458</v>
      </c>
      <c r="E20" s="22"/>
      <c r="F20" s="22"/>
      <c r="G20" s="22"/>
      <c r="H20" s="22"/>
      <c r="I20" s="22"/>
      <c r="J20" s="22"/>
    </row>
    <row r="21" spans="1:10">
      <c r="A21" s="23"/>
      <c r="B21" s="18" t="s">
        <v>459</v>
      </c>
      <c r="C21" s="19" t="s">
        <v>460</v>
      </c>
      <c r="D21" s="20" t="s">
        <v>112</v>
      </c>
      <c r="E21" s="22"/>
      <c r="F21" s="22"/>
      <c r="G21" s="22"/>
      <c r="H21" s="22"/>
      <c r="I21" s="22"/>
      <c r="J21" s="22"/>
    </row>
    <row r="22" spans="1:10" ht="15" customHeight="1">
      <c r="A22" s="23" t="s">
        <v>260</v>
      </c>
      <c r="B22" s="18" t="s">
        <v>261</v>
      </c>
      <c r="C22" s="19"/>
      <c r="D22" s="20" t="s">
        <v>262</v>
      </c>
      <c r="E22" s="22"/>
      <c r="F22" s="22"/>
      <c r="G22" s="22"/>
      <c r="H22" s="22"/>
      <c r="I22" s="22"/>
      <c r="J22" s="22"/>
    </row>
    <row r="23" spans="1:10">
      <c r="A23" s="23"/>
      <c r="B23" s="18" t="s">
        <v>268</v>
      </c>
      <c r="C23" s="19" t="s">
        <v>269</v>
      </c>
      <c r="D23" s="20" t="s">
        <v>426</v>
      </c>
      <c r="E23" s="22"/>
      <c r="F23" s="22"/>
      <c r="G23" s="22"/>
      <c r="H23" s="22"/>
      <c r="I23" s="22"/>
      <c r="J23" s="22"/>
    </row>
    <row r="24" spans="1:10">
      <c r="A24" s="23"/>
      <c r="B24" s="18" t="s">
        <v>390</v>
      </c>
      <c r="C24" s="19" t="s">
        <v>279</v>
      </c>
      <c r="D24" s="20" t="s">
        <v>112</v>
      </c>
      <c r="E24" s="22"/>
      <c r="F24" s="22"/>
      <c r="G24" s="22"/>
      <c r="H24" s="22"/>
      <c r="I24" s="22"/>
      <c r="J24" s="22"/>
    </row>
    <row r="25" spans="1:10">
      <c r="A25" s="23"/>
      <c r="B25" s="18" t="s">
        <v>391</v>
      </c>
      <c r="C25" s="19" t="s">
        <v>317</v>
      </c>
      <c r="D25" s="20" t="s">
        <v>461</v>
      </c>
      <c r="E25" s="22"/>
      <c r="F25" s="22"/>
      <c r="G25" s="22"/>
      <c r="H25" s="22"/>
      <c r="I25" s="22"/>
      <c r="J25" s="22"/>
    </row>
    <row r="26" spans="1:10">
      <c r="A26" s="23"/>
      <c r="B26" s="18" t="s">
        <v>324</v>
      </c>
      <c r="C26" s="19" t="s">
        <v>325</v>
      </c>
      <c r="D26" s="20" t="s">
        <v>326</v>
      </c>
      <c r="E26" s="22"/>
      <c r="F26" s="22"/>
      <c r="G26" s="22"/>
      <c r="H26" s="22"/>
      <c r="I26" s="22"/>
      <c r="J26" s="22"/>
    </row>
  </sheetData>
  <mergeCells count="7">
    <mergeCell ref="A20:A21"/>
    <mergeCell ref="A22:A26"/>
    <mergeCell ref="A1:J1"/>
    <mergeCell ref="A2:J2"/>
    <mergeCell ref="A5:A8"/>
    <mergeCell ref="A9:A12"/>
    <mergeCell ref="A13:A19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J1"/>
    </sheetView>
  </sheetViews>
  <sheetFormatPr defaultColWidth="8.6640625" defaultRowHeight="14.25"/>
  <cols>
    <col min="1" max="1" width="16" customWidth="1"/>
    <col min="2" max="2" width="36" customWidth="1"/>
    <col min="3" max="3" width="13" customWidth="1"/>
    <col min="4" max="4" width="20" customWidth="1"/>
    <col min="5" max="10" width="16" customWidth="1"/>
  </cols>
  <sheetData>
    <row r="1" spans="1:10" ht="25.5" customHeight="1">
      <c r="A1" s="24" t="s">
        <v>462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customHeight="1">
      <c r="A2" s="25" t="s">
        <v>463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21.75" customHeight="1">
      <c r="A4" s="12" t="s">
        <v>80</v>
      </c>
      <c r="B4" s="12" t="s">
        <v>81</v>
      </c>
      <c r="C4" s="12" t="s">
        <v>82</v>
      </c>
      <c r="D4" s="12" t="s">
        <v>83</v>
      </c>
      <c r="E4" s="2" t="s">
        <v>395</v>
      </c>
      <c r="F4" s="2" t="s">
        <v>396</v>
      </c>
      <c r="G4" s="2" t="s">
        <v>397</v>
      </c>
      <c r="H4" s="2" t="s">
        <v>398</v>
      </c>
      <c r="I4" s="2" t="s">
        <v>399</v>
      </c>
      <c r="J4" s="2" t="s">
        <v>400</v>
      </c>
    </row>
    <row r="5" spans="1:10" ht="15" customHeight="1">
      <c r="A5" s="23" t="s">
        <v>84</v>
      </c>
      <c r="B5" s="18" t="s">
        <v>85</v>
      </c>
      <c r="C5" s="19"/>
      <c r="D5" s="20" t="s">
        <v>464</v>
      </c>
      <c r="E5" s="22"/>
      <c r="F5" s="22"/>
      <c r="G5" s="22"/>
      <c r="H5" s="22"/>
      <c r="I5" s="22"/>
      <c r="J5" s="22"/>
    </row>
    <row r="6" spans="1:10">
      <c r="A6" s="23"/>
      <c r="B6" s="18" t="s">
        <v>92</v>
      </c>
      <c r="C6" s="19"/>
      <c r="D6" s="20" t="s">
        <v>465</v>
      </c>
      <c r="E6" s="22"/>
      <c r="F6" s="22"/>
      <c r="G6" s="22"/>
      <c r="H6" s="22"/>
      <c r="I6" s="22"/>
      <c r="J6" s="22"/>
    </row>
    <row r="7" spans="1:10">
      <c r="A7" s="23"/>
      <c r="B7" s="18" t="s">
        <v>104</v>
      </c>
      <c r="C7" s="19" t="s">
        <v>105</v>
      </c>
      <c r="D7" s="20" t="s">
        <v>466</v>
      </c>
      <c r="E7" s="22"/>
      <c r="F7" s="22"/>
      <c r="G7" s="22"/>
      <c r="H7" s="22"/>
      <c r="I7" s="22"/>
      <c r="J7" s="22"/>
    </row>
    <row r="8" spans="1:10">
      <c r="A8" s="23"/>
      <c r="B8" s="18" t="s">
        <v>467</v>
      </c>
      <c r="C8" s="19"/>
      <c r="D8" s="20" t="s">
        <v>468</v>
      </c>
      <c r="E8" s="22"/>
      <c r="F8" s="22"/>
      <c r="G8" s="22"/>
      <c r="H8" s="22"/>
      <c r="I8" s="22"/>
      <c r="J8" s="22"/>
    </row>
    <row r="9" spans="1:10">
      <c r="A9" s="23"/>
      <c r="B9" s="18" t="s">
        <v>469</v>
      </c>
      <c r="C9" s="19" t="s">
        <v>127</v>
      </c>
      <c r="D9" s="20" t="s">
        <v>204</v>
      </c>
      <c r="E9" s="22"/>
      <c r="F9" s="22"/>
      <c r="G9" s="22"/>
      <c r="H9" s="22"/>
      <c r="I9" s="22"/>
      <c r="J9" s="22"/>
    </row>
    <row r="10" spans="1:10" ht="15" customHeight="1">
      <c r="A10" s="23" t="s">
        <v>413</v>
      </c>
      <c r="B10" s="18" t="s">
        <v>470</v>
      </c>
      <c r="C10" s="19" t="s">
        <v>143</v>
      </c>
      <c r="D10" s="20" t="s">
        <v>213</v>
      </c>
      <c r="E10" s="22"/>
      <c r="F10" s="22"/>
      <c r="G10" s="22"/>
      <c r="H10" s="22"/>
      <c r="I10" s="22"/>
      <c r="J10" s="22"/>
    </row>
    <row r="11" spans="1:10">
      <c r="A11" s="23"/>
      <c r="B11" s="18" t="s">
        <v>471</v>
      </c>
      <c r="C11" s="19" t="s">
        <v>472</v>
      </c>
      <c r="D11" s="20" t="s">
        <v>473</v>
      </c>
      <c r="E11" s="22"/>
      <c r="F11" s="22"/>
      <c r="G11" s="22"/>
      <c r="H11" s="22"/>
      <c r="I11" s="22"/>
      <c r="J11" s="22"/>
    </row>
    <row r="12" spans="1:10">
      <c r="A12" s="23"/>
      <c r="B12" s="18" t="s">
        <v>474</v>
      </c>
      <c r="C12" s="19" t="s">
        <v>117</v>
      </c>
      <c r="D12" s="20" t="s">
        <v>416</v>
      </c>
      <c r="E12" s="22"/>
      <c r="F12" s="22"/>
      <c r="G12" s="22"/>
      <c r="H12" s="22"/>
      <c r="I12" s="22"/>
      <c r="J12" s="22"/>
    </row>
    <row r="13" spans="1:10">
      <c r="A13" s="23"/>
      <c r="B13" s="18" t="s">
        <v>475</v>
      </c>
      <c r="C13" s="19" t="s">
        <v>424</v>
      </c>
      <c r="D13" s="20" t="s">
        <v>476</v>
      </c>
      <c r="E13" s="22"/>
      <c r="F13" s="22"/>
      <c r="G13" s="22"/>
      <c r="H13" s="22"/>
      <c r="I13" s="22"/>
      <c r="J13" s="22"/>
    </row>
    <row r="14" spans="1:10">
      <c r="A14" s="23"/>
      <c r="B14" s="18" t="s">
        <v>477</v>
      </c>
      <c r="C14" s="19" t="s">
        <v>157</v>
      </c>
      <c r="D14" s="20" t="s">
        <v>478</v>
      </c>
      <c r="E14" s="22"/>
      <c r="F14" s="22"/>
      <c r="G14" s="22"/>
      <c r="H14" s="22"/>
      <c r="I14" s="22"/>
      <c r="J14" s="22"/>
    </row>
    <row r="15" spans="1:10">
      <c r="A15" s="23"/>
      <c r="B15" s="18" t="s">
        <v>479</v>
      </c>
      <c r="C15" s="19" t="s">
        <v>143</v>
      </c>
      <c r="D15" s="20" t="s">
        <v>480</v>
      </c>
      <c r="E15" s="22"/>
      <c r="F15" s="22"/>
      <c r="G15" s="22"/>
      <c r="H15" s="22"/>
      <c r="I15" s="22"/>
      <c r="J15" s="22"/>
    </row>
    <row r="16" spans="1:10">
      <c r="A16" s="23"/>
      <c r="B16" s="18" t="s">
        <v>481</v>
      </c>
      <c r="C16" s="19" t="s">
        <v>482</v>
      </c>
      <c r="D16" s="20" t="s">
        <v>483</v>
      </c>
      <c r="E16" s="22"/>
      <c r="F16" s="22"/>
      <c r="G16" s="22"/>
      <c r="H16" s="22"/>
      <c r="I16" s="22"/>
      <c r="J16" s="22"/>
    </row>
    <row r="17" spans="1:10" ht="15" customHeight="1">
      <c r="A17" s="23" t="s">
        <v>484</v>
      </c>
      <c r="B17" s="18" t="s">
        <v>485</v>
      </c>
      <c r="C17" s="19"/>
      <c r="D17" s="20" t="s">
        <v>486</v>
      </c>
      <c r="E17" s="22"/>
      <c r="F17" s="22"/>
      <c r="G17" s="22"/>
      <c r="H17" s="22"/>
      <c r="I17" s="22"/>
      <c r="J17" s="22"/>
    </row>
    <row r="18" spans="1:10">
      <c r="A18" s="23"/>
      <c r="B18" s="18" t="s">
        <v>487</v>
      </c>
      <c r="C18" s="19" t="s">
        <v>488</v>
      </c>
      <c r="D18" s="20" t="s">
        <v>112</v>
      </c>
      <c r="E18" s="22"/>
      <c r="F18" s="22"/>
      <c r="G18" s="22"/>
      <c r="H18" s="22"/>
      <c r="I18" s="22"/>
      <c r="J18" s="22"/>
    </row>
    <row r="19" spans="1:10" ht="15" customHeight="1">
      <c r="A19" s="23" t="s">
        <v>260</v>
      </c>
      <c r="B19" s="18" t="s">
        <v>268</v>
      </c>
      <c r="C19" s="19" t="s">
        <v>269</v>
      </c>
      <c r="D19" s="20" t="s">
        <v>274</v>
      </c>
      <c r="E19" s="22"/>
      <c r="F19" s="22"/>
      <c r="G19" s="22"/>
      <c r="H19" s="22"/>
      <c r="I19" s="22"/>
      <c r="J19" s="22"/>
    </row>
    <row r="20" spans="1:10">
      <c r="A20" s="23"/>
      <c r="B20" s="18" t="s">
        <v>390</v>
      </c>
      <c r="C20" s="19" t="s">
        <v>388</v>
      </c>
      <c r="D20" s="20" t="s">
        <v>112</v>
      </c>
      <c r="E20" s="22"/>
      <c r="F20" s="22"/>
      <c r="G20" s="22"/>
      <c r="H20" s="22"/>
      <c r="I20" s="22"/>
      <c r="J20" s="22"/>
    </row>
    <row r="21" spans="1:10">
      <c r="A21" s="23"/>
      <c r="B21" s="18" t="s">
        <v>391</v>
      </c>
      <c r="C21" s="19" t="s">
        <v>317</v>
      </c>
      <c r="D21" s="20" t="s">
        <v>489</v>
      </c>
      <c r="E21" s="22"/>
      <c r="F21" s="22"/>
      <c r="G21" s="22"/>
      <c r="H21" s="22"/>
      <c r="I21" s="22"/>
      <c r="J21" s="22"/>
    </row>
    <row r="22" spans="1:10">
      <c r="A22" s="23"/>
      <c r="B22" s="18" t="s">
        <v>324</v>
      </c>
      <c r="C22" s="19" t="s">
        <v>325</v>
      </c>
      <c r="D22" s="20" t="s">
        <v>326</v>
      </c>
      <c r="E22" s="22"/>
      <c r="F22" s="22"/>
      <c r="G22" s="22"/>
      <c r="H22" s="22"/>
      <c r="I22" s="22"/>
      <c r="J22" s="22"/>
    </row>
  </sheetData>
  <mergeCells count="6">
    <mergeCell ref="A19:A22"/>
    <mergeCell ref="A1:J1"/>
    <mergeCell ref="A2:J2"/>
    <mergeCell ref="A5:A9"/>
    <mergeCell ref="A10:A16"/>
    <mergeCell ref="A17:A18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안내(README)</vt:lpstr>
      <vt:lpstr>Overview_요약</vt:lpstr>
      <vt:lpstr>Beamformer_BFIC</vt:lpstr>
      <vt:lpstr>FEM_PA_LNA_Switch</vt:lpstr>
      <vt:lpstr>Converter_Mixer</vt:lpstr>
      <vt:lpstr>PLL_Synthesizer</vt:lpstr>
      <vt:lpstr>DataConverter_ADC_DAC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최영현</cp:lastModifiedBy>
  <cp:revision>0</cp:revision>
  <dcterms:created xsi:type="dcterms:W3CDTF">2026-08-20T05:18:12Z</dcterms:created>
  <dcterms:modified xsi:type="dcterms:W3CDTF">2026-08-27T12:19:49Z</dcterms:modified>
  <dc:language>en-US</dc:language>
</cp:coreProperties>
</file>